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m/Projects/research/samtuyenlam/"/>
    </mc:Choice>
  </mc:AlternateContent>
  <xr:revisionPtr revIDLastSave="0" documentId="13_ncr:1_{93B85E0E-92C7-4246-8F77-75364CAFCFC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1. Cover" sheetId="1" r:id="rId1"/>
    <sheet name="2. Executive Summary" sheetId="2" r:id="rId2"/>
    <sheet name="3. Scope of Work" sheetId="3" r:id="rId3"/>
    <sheet name="4. Pricing — Build" sheetId="4" r:id="rId4"/>
    <sheet name="5. Pricing — Hosting" sheetId="5" r:id="rId5"/>
    <sheet name="6. Timeline" sheetId="6" r:id="rId6"/>
    <sheet name="7. Commercial Terms" sheetId="7" r:id="rId7"/>
  </sheets>
  <definedNames>
    <definedName name="D_GRAND">'5. Pricing — Hosting'!$D$17</definedName>
    <definedName name="I_GRAND">'4. Pricing — Build'!$I$67</definedName>
    <definedName name="J_GRAND">'4. Pricing — Build'!$J$67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4" l="1"/>
  <c r="D15" i="5"/>
  <c r="D17" i="5"/>
  <c r="D16" i="5"/>
  <c r="H9" i="4"/>
  <c r="I9" i="4" s="1"/>
  <c r="J9" i="4" s="1"/>
  <c r="D12" i="5"/>
  <c r="D9" i="5"/>
  <c r="D8" i="5"/>
  <c r="H62" i="4"/>
  <c r="H61" i="4"/>
  <c r="H60" i="4"/>
  <c r="I60" i="4" s="1"/>
  <c r="J60" i="4" s="1"/>
  <c r="H59" i="4"/>
  <c r="H58" i="4"/>
  <c r="H57" i="4"/>
  <c r="I57" i="4" s="1"/>
  <c r="J57" i="4" s="1"/>
  <c r="H56" i="4"/>
  <c r="I56" i="4" s="1"/>
  <c r="J56" i="4" s="1"/>
  <c r="H55" i="4"/>
  <c r="I55" i="4" s="1"/>
  <c r="J55" i="4" s="1"/>
  <c r="H54" i="4"/>
  <c r="I54" i="4" s="1"/>
  <c r="J54" i="4" s="1"/>
  <c r="H53" i="4"/>
  <c r="H52" i="4"/>
  <c r="H51" i="4"/>
  <c r="I51" i="4" s="1"/>
  <c r="J51" i="4" s="1"/>
  <c r="H50" i="4"/>
  <c r="I50" i="4" s="1"/>
  <c r="J50" i="4" s="1"/>
  <c r="H49" i="4"/>
  <c r="I49" i="4" s="1"/>
  <c r="J49" i="4" s="1"/>
  <c r="H48" i="4"/>
  <c r="I48" i="4" s="1"/>
  <c r="J48" i="4" s="1"/>
  <c r="H47" i="4"/>
  <c r="I47" i="4" s="1"/>
  <c r="J47" i="4" s="1"/>
  <c r="H46" i="4"/>
  <c r="I46" i="4" s="1"/>
  <c r="J46" i="4" s="1"/>
  <c r="H45" i="4"/>
  <c r="I45" i="4" s="1"/>
  <c r="J45" i="4" s="1"/>
  <c r="H44" i="4"/>
  <c r="I44" i="4" s="1"/>
  <c r="J44" i="4" s="1"/>
  <c r="H43" i="4"/>
  <c r="I43" i="4" s="1"/>
  <c r="J43" i="4" s="1"/>
  <c r="H42" i="4"/>
  <c r="I42" i="4" s="1"/>
  <c r="J42" i="4" s="1"/>
  <c r="H41" i="4"/>
  <c r="I41" i="4" s="1"/>
  <c r="J41" i="4" s="1"/>
  <c r="H40" i="4"/>
  <c r="H39" i="4"/>
  <c r="I39" i="4" s="1"/>
  <c r="J39" i="4" s="1"/>
  <c r="H38" i="4"/>
  <c r="I38" i="4" s="1"/>
  <c r="J38" i="4" s="1"/>
  <c r="H37" i="4"/>
  <c r="I37" i="4" s="1"/>
  <c r="J37" i="4" s="1"/>
  <c r="H36" i="4"/>
  <c r="I36" i="4" s="1"/>
  <c r="J36" i="4" s="1"/>
  <c r="H35" i="4"/>
  <c r="H34" i="4"/>
  <c r="I34" i="4" s="1"/>
  <c r="J34" i="4" s="1"/>
  <c r="H33" i="4"/>
  <c r="I33" i="4" s="1"/>
  <c r="J33" i="4" s="1"/>
  <c r="H32" i="4"/>
  <c r="I32" i="4" s="1"/>
  <c r="J32" i="4" s="1"/>
  <c r="H31" i="4"/>
  <c r="I31" i="4" s="1"/>
  <c r="J31" i="4" s="1"/>
  <c r="H30" i="4"/>
  <c r="I30" i="4" s="1"/>
  <c r="J30" i="4" s="1"/>
  <c r="H29" i="4"/>
  <c r="H28" i="4"/>
  <c r="I28" i="4" s="1"/>
  <c r="J28" i="4" s="1"/>
  <c r="H27" i="4"/>
  <c r="I27" i="4" s="1"/>
  <c r="J27" i="4" s="1"/>
  <c r="H26" i="4"/>
  <c r="I26" i="4" s="1"/>
  <c r="J26" i="4" s="1"/>
  <c r="H25" i="4"/>
  <c r="I25" i="4" s="1"/>
  <c r="J25" i="4" s="1"/>
  <c r="H24" i="4"/>
  <c r="I24" i="4" s="1"/>
  <c r="J24" i="4" s="1"/>
  <c r="H23" i="4"/>
  <c r="I23" i="4" s="1"/>
  <c r="J23" i="4" s="1"/>
  <c r="H22" i="4"/>
  <c r="I22" i="4" s="1"/>
  <c r="J22" i="4" s="1"/>
  <c r="H21" i="4"/>
  <c r="I21" i="4" s="1"/>
  <c r="J21" i="4" s="1"/>
  <c r="H20" i="4"/>
  <c r="I20" i="4" s="1"/>
  <c r="J20" i="4" s="1"/>
  <c r="H19" i="4"/>
  <c r="I19" i="4" s="1"/>
  <c r="J19" i="4" s="1"/>
  <c r="H18" i="4"/>
  <c r="I18" i="4" s="1"/>
  <c r="J18" i="4" s="1"/>
  <c r="H17" i="4"/>
  <c r="I17" i="4" s="1"/>
  <c r="J17" i="4" s="1"/>
  <c r="H16" i="4"/>
  <c r="I16" i="4" s="1"/>
  <c r="J16" i="4" s="1"/>
  <c r="H15" i="4"/>
  <c r="I15" i="4" s="1"/>
  <c r="J15" i="4" s="1"/>
  <c r="H14" i="4"/>
  <c r="I14" i="4" s="1"/>
  <c r="J14" i="4" s="1"/>
  <c r="H13" i="4"/>
  <c r="I13" i="4" s="1"/>
  <c r="J13" i="4" s="1"/>
  <c r="H12" i="4"/>
  <c r="I12" i="4" s="1"/>
  <c r="J12" i="4" s="1"/>
  <c r="H11" i="4"/>
  <c r="I11" i="4" s="1"/>
  <c r="J11" i="4" s="1"/>
  <c r="H10" i="4"/>
  <c r="I10" i="4" s="1"/>
  <c r="J10" i="4" s="1"/>
  <c r="I64" i="4" l="1"/>
  <c r="J65" i="4" l="1"/>
  <c r="J64" i="4"/>
  <c r="I67" i="4" l="1"/>
  <c r="E23" i="1"/>
  <c r="H25" i="2"/>
  <c r="J66" i="4"/>
  <c r="H23" i="1" l="1"/>
  <c r="J26" i="2" l="1"/>
  <c r="H24" i="1"/>
  <c r="J67" i="4"/>
  <c r="J24" i="2" s="1"/>
  <c r="B23" i="1"/>
  <c r="H24" i="2"/>
  <c r="H26" i="2"/>
  <c r="B24" i="1" l="1"/>
</calcChain>
</file>

<file path=xl/sharedStrings.xml><?xml version="1.0" encoding="utf-8"?>
<sst xmlns="http://schemas.openxmlformats.org/spreadsheetml/2006/main" count="738" uniqueCount="651">
  <si>
    <t xml:space="preserve">  Powered by ADNS  ·  Enterprise web &amp; digital experience studio</t>
  </si>
  <si>
    <t xml:space="preserve">  One master brand · three properties · three languages · three booking flows</t>
  </si>
  <si>
    <t xml:space="preserve">  PREPARED FOR
  SAM Tuyen Lam Hospitality Group</t>
  </si>
  <si>
    <t xml:space="preserve">  REFERENCE
  BC-2026-0526-SAM  ·  Issued 26 May 2026  ·  Valid until 25 June 2026</t>
  </si>
  <si>
    <t>PROGRAMME INVESTMENT AT A GLANCE</t>
  </si>
  <si>
    <t>PHASE 1 — DESIGN &amp; BUILD</t>
  </si>
  <si>
    <t>PHASE 2 — HOSTING &amp; SUPPORT (Y1)</t>
  </si>
  <si>
    <t>TOTAL PROGRAMME — Year 1</t>
  </si>
  <si>
    <t>12 months · VAT included</t>
  </si>
  <si>
    <t>ENGAGEMENT CONTEXT</t>
  </si>
  <si>
    <t xml:space="preserve">  Client</t>
  </si>
  <si>
    <t>SAM Tuyen Lam Hospitality Group — Golf Course, Swiss-Belresort, Villa</t>
  </si>
  <si>
    <t xml:space="preserve">  Primary Domain</t>
  </si>
  <si>
    <t>samtuyenlam.com.vn  (consolidation of 4 legacy domains)</t>
  </si>
  <si>
    <t xml:space="preserve">  Reference Style</t>
  </si>
  <si>
    <t>Hoiana.com (multi-property architecture) × NamiaRiverRetreat.com (emotional, healing tone)</t>
  </si>
  <si>
    <t xml:space="preserve">  Languages</t>
  </si>
  <si>
    <t>Vietnamese · English · Korean</t>
  </si>
  <si>
    <t xml:space="preserve">  Booking Flows</t>
  </si>
  <si>
    <t>Golf → VNPay  ·  Swiss-Belresort → Hotel Link → Smile PMS  ·  Villa → Lead capture</t>
  </si>
  <si>
    <t xml:space="preserve">  Engagement</t>
  </si>
  <si>
    <t>Strategy, Design, Build, Migrate, Launch + 12-month Managed Services</t>
  </si>
  <si>
    <t xml:space="preserve">  Delivery</t>
  </si>
  <si>
    <t>20 weeks (5 months) from kickoff to launch · 4-week post-launch hypercare</t>
  </si>
  <si>
    <t>CONTACT &amp; APPROVALS</t>
  </si>
  <si>
    <t xml:space="preserve">  Prepared by</t>
  </si>
  <si>
    <t>Ms. Uyen Tran — Account Director, Blue Coral</t>
  </si>
  <si>
    <t xml:space="preserve">  Approved by</t>
  </si>
  <si>
    <t>Mr. Nguyen — Managing Director, ADNS</t>
  </si>
  <si>
    <t>—</t>
  </si>
  <si>
    <t xml:space="preserve">  Client sponsor</t>
  </si>
  <si>
    <t>Mr. / Ms. ________________  (SAM Tuyen Lam)</t>
  </si>
  <si>
    <t>Date of signature: ____ / ____ / 2026</t>
  </si>
  <si>
    <t>This proposal is commercially confidential. Pricing and scope herein are valid for 30 days from the issue date.</t>
  </si>
  <si>
    <t xml:space="preserve">  BLUE CORAL   ▍ Powered by ADNS  ·  8/7D Phan Huy Ich, Tan Binh, Ho Chi Minh City  ·  +84 979 477 101  ·  hello@bluecoral.vn</t>
  </si>
  <si>
    <t xml:space="preserve">  Executive Summary</t>
  </si>
  <si>
    <t xml:space="preserve">  01 · ENGAGEMENT OVERVIEW</t>
  </si>
  <si>
    <t>SAM Tuyen Lam currently operates four disconnected websites — one per property and one legacy 360° VR portal. Each runs on different infrastructure, lacks a unified brand voice, and presents fragmented booking journeys to a global audience.
This programme consolidates the four sites into a single master experience at samtuyenlam.com.vn, modelled on Hoiana's multi-property architecture and Namia River Retreat's emotional, healing tone. The new platform will deliver an Alpine-retreat narrative across three properties, three languages (VI / EN / KO), and three independent booking flows — with the marketing team in full control of campaigns through a permission-managed CMS.</t>
  </si>
  <si>
    <t xml:space="preserve">  02 · STRATEGIC OBJECTIVES</t>
  </si>
  <si>
    <t xml:space="preserve">  BRAND CONSOLIDATION</t>
  </si>
  <si>
    <t xml:space="preserve">  CONVERSION LIFT</t>
  </si>
  <si>
    <t xml:space="preserve">  INTERNATIONAL REACH</t>
  </si>
  <si>
    <t>Unify 4 fragmented sites under one master brand narrative — Alpine retreat, healing, enduring love.</t>
  </si>
  <si>
    <t>Persistent property-aware "Book" CTAs, friction-free booking journeys, direct-booking incentives.</t>
  </si>
  <si>
    <t>Trilingual VI/EN/KO with Swiss-Belresort identity surfaced for inbound EN/KO traffic.</t>
  </si>
  <si>
    <t xml:space="preserve">  MARKETING AUTONOMY</t>
  </si>
  <si>
    <t xml:space="preserve">  PERFORMANCE &amp; TRUST</t>
  </si>
  <si>
    <t>Role-based CMS lets Marketing publish offers, blog, news, banners, pop-ups without engineering tickets.</t>
  </si>
  <si>
    <t>Core Web Vitals green, WCAG-AA accessibility, hardened security (post-incident posture), full backup &amp; DR.</t>
  </si>
  <si>
    <t xml:space="preserve">  03 · SCOPE AT A GLANCE — PROPERTY MAP</t>
  </si>
  <si>
    <t>Property</t>
  </si>
  <si>
    <t>Domain Path</t>
  </si>
  <si>
    <t>Booking System</t>
  </si>
  <si>
    <t>Primary Audience</t>
  </si>
  <si>
    <t>Templates Delivered</t>
  </si>
  <si>
    <t>SAM Tuyen Lam
Golf Course</t>
  </si>
  <si>
    <t>/samtuyenlamgolf</t>
  </si>
  <si>
    <t>VNPay (booking → PMS)</t>
  </si>
  <si>
    <t>Golfers · Couples</t>
  </si>
  <si>
    <t>1 Overview + 18-Hole + Coaching + Club House + Gallery + Booking</t>
  </si>
  <si>
    <t>Swiss-Belresort
Tuyen Lam</t>
  </si>
  <si>
    <t>/swiss-belresorttuyenlam</t>
  </si>
  <si>
    <t>Hotel Link → Smile PMS</t>
  </si>
  <si>
    <t>4★+ International · Wellness · MICE</t>
  </si>
  <si>
    <t>1 Property + 7 Room Types + Spa + MICE + Dining + Gallery + Booking</t>
  </si>
  <si>
    <t>SAM Tuyen Lam
Villa</t>
  </si>
  <si>
    <t>/samtuyenlamvilla</t>
  </si>
  <si>
    <t>Lead capture (temporarily closed)</t>
  </si>
  <si>
    <t>Future launch · Newsletter audience</t>
  </si>
  <si>
    <t>1 Teaser + 5 Room Type design templates (no booking dev)</t>
  </si>
  <si>
    <t xml:space="preserve">  04 · PROGRAMME INVESTMENT</t>
  </si>
  <si>
    <t>#</t>
  </si>
  <si>
    <t>Phase</t>
  </si>
  <si>
    <t>Description</t>
  </si>
  <si>
    <t>Investment (VND)</t>
  </si>
  <si>
    <t>Investment (USD)</t>
  </si>
  <si>
    <t>1</t>
  </si>
  <si>
    <t>Design &amp; Build</t>
  </si>
  <si>
    <t>Discovery · IA · Visual Design · 14 page templates · Booking integrations · CMS · Multi-language · SEO · QA · Launch · 4-week hypercare</t>
  </si>
  <si>
    <t>2</t>
  </si>
  <si>
    <t>Hosting &amp; Support</t>
  </si>
  <si>
    <t>Year 1 — Enterprise hosting · CDN · SSL · WAF · 20 hrs/month managed services</t>
  </si>
  <si>
    <t>TOTAL PROGRAMME — Year 1 (VAT included)</t>
  </si>
  <si>
    <t xml:space="preserve">  05 · DELIVERY ROADMAP</t>
  </si>
  <si>
    <t>Milestone</t>
  </si>
  <si>
    <t>Duration</t>
  </si>
  <si>
    <t>Key Deliverables</t>
  </si>
  <si>
    <t>M0</t>
  </si>
  <si>
    <t>Discovery &amp; Foundation</t>
  </si>
  <si>
    <t>Weeks 1-2</t>
  </si>
  <si>
    <t>Sitemap signoff · Content audit · Brand narrative outline</t>
  </si>
  <si>
    <t>M1</t>
  </si>
  <si>
    <t>Design</t>
  </si>
  <si>
    <t>Weeks 3-8</t>
  </si>
  <si>
    <t>Design system + 14 visual templates approved</t>
  </si>
  <si>
    <t>M2</t>
  </si>
  <si>
    <t>Build</t>
  </si>
  <si>
    <t>Weeks 9-14</t>
  </si>
  <si>
    <t>Front-end · Back-end · CMS · Multi-language operational</t>
  </si>
  <si>
    <t>M3</t>
  </si>
  <si>
    <t>Integration</t>
  </si>
  <si>
    <t>Weeks 15-18</t>
  </si>
  <si>
    <t>VNPay · Hotel Link/Smile · 360° · Live chat · Analytics live</t>
  </si>
  <si>
    <t>M4</t>
  </si>
  <si>
    <t>QA, UAT &amp; Launch</t>
  </si>
  <si>
    <t>Weeks 19-20</t>
  </si>
  <si>
    <t>301 redirects · Security · Go-live · 4-week hypercare</t>
  </si>
  <si>
    <t>M5+</t>
  </si>
  <si>
    <t>Hosting &amp; Managed Services</t>
  </si>
  <si>
    <t>12 Months</t>
  </si>
  <si>
    <t>SLA-backed support · backups · monitoring · monthly reports</t>
  </si>
  <si>
    <t xml:space="preserve">  Scope of Work — Detailed Deliverables</t>
  </si>
  <si>
    <t xml:space="preserve">  The scope below is organised by workstream. Each line is a discrete deliverable with a defined acceptance output. All items are included in the Phase 1 investment unless explicitly marked optional.</t>
  </si>
  <si>
    <t>Deliverable</t>
  </si>
  <si>
    <t>Acceptance Output</t>
  </si>
  <si>
    <t xml:space="preserve">  A · DISCOVERY &amp; BRAND FOUNDATION</t>
  </si>
  <si>
    <t>A.1</t>
  </si>
  <si>
    <t>Stakeholder workshops &amp; content audit</t>
  </si>
  <si>
    <t>On-site discovery with property GMs, marketing, IT, revenue. Inventory and quality-grade all assets across 4 legacy domains.</t>
  </si>
  <si>
    <t>Discovery report + asset inventory</t>
  </si>
  <si>
    <t>A.2</t>
  </si>
  <si>
    <t>Information architecture &amp; sitemap</t>
  </si>
  <si>
    <t>Master sitemap for 1 brand × 3 properties × 3 languages. URL strategy (clean, property-scoped, hreflang-ready).</t>
  </si>
  <si>
    <t>Approved sitemap + URL map</t>
  </si>
  <si>
    <t>A.3</t>
  </si>
  <si>
    <t>Brand narrative &amp; content strategy</t>
  </si>
  <si>
    <t>Brand storyline anchored on "Lost in nature, founding you" — nature, stillness, healing, enduring love. Tone guidelines, voice rules, lexicon.</t>
  </si>
  <si>
    <t>Brand narrative doc + tone guide</t>
  </si>
  <si>
    <t>A.4</t>
  </si>
  <si>
    <t>Design system &amp; component library</t>
  </si>
  <si>
    <t>Typography, colour, photographic mood, iconography, UI components (cards, hero, navigation, forms, modals).</t>
  </si>
  <si>
    <t>Figma design system file</t>
  </si>
  <si>
    <t xml:space="preserve">  B · PAGE TEMPLATES — BRAND HOME</t>
  </si>
  <si>
    <t>B.1</t>
  </si>
  <si>
    <t>Brand Home (master)</t>
  </si>
  <si>
    <t>Sticky header · Full-screen hero video · Brand narrative block · 3 property gateways · 3 experience pillars · Featured offers grid · Audience-segment quick links · Gallery teaser · Blog &amp; newsletter · Footer.</t>
  </si>
  <si>
    <t>Responsive template — VI/EN/KO</t>
  </si>
  <si>
    <t xml:space="preserve">  C · PAGE TEMPLATES — GOLF PROPERTY</t>
  </si>
  <si>
    <t>C.1</t>
  </si>
  <si>
    <t>Golf overview &amp; sub-pages</t>
  </si>
  <si>
    <t>6 blocks: Hero · Course intro · 18-hole / Coaching / Club House · Golf-lifestyle experiences · Gallery + 360° · Final CTA. Club House nested children (Restaurant · Rooms · Pro Shop).</t>
  </si>
  <si>
    <t>Responsive template + 3 sub-pages</t>
  </si>
  <si>
    <t xml:space="preserve">  D · PAGE TEMPLATES — SWISS-BELRESORT</t>
  </si>
  <si>
    <t>D.1</t>
  </si>
  <si>
    <t>Resort overview</t>
  </si>
  <si>
    <t>7 blocks: Hero + Swiss-Bel identity · 151-room intro · Room grid · Spa &amp; Wellness · Dining · MICE · Experiences · Gallery + 360° · Final CTA.</t>
  </si>
  <si>
    <t>Responsive template</t>
  </si>
  <si>
    <t>D.2</t>
  </si>
  <si>
    <t>Deluxe Mountain View · Deluxe Golf View · Studio Mountain View · Family Deluxe Mountain View · King Suite Mountain View · Royal Suite Mountain View · Standard.</t>
  </si>
  <si>
    <t>D.3</t>
  </si>
  <si>
    <t>Spa &amp; Wellness</t>
  </si>
  <si>
    <t>Curated wellness journeys, not service list.</t>
  </si>
  <si>
    <t>Sub-page</t>
  </si>
  <si>
    <t>D.4</t>
  </si>
  <si>
    <t>Dining</t>
  </si>
  <si>
    <t>Restaurant &amp; bar storytelling, menu module.</t>
  </si>
  <si>
    <t>D.5</t>
  </si>
  <si>
    <t>MICE &amp; Events</t>
  </si>
  <si>
    <t>Venue specs, capacity tables, RFP form.</t>
  </si>
  <si>
    <t>Sub-page + lead form</t>
  </si>
  <si>
    <t xml:space="preserve">  E · PAGE TEMPLATES — VILLA</t>
  </si>
  <si>
    <t>E.1</t>
  </si>
  <si>
    <t>Villa teaser (Coming Soon)</t>
  </si>
  <si>
    <t>Brand storytelling, "Love Trekk-in / Forest Service Hub" narrative, lead-capture form. No live booking.</t>
  </si>
  <si>
    <t>E.2</t>
  </si>
  <si>
    <t>Standard · Deluxe Lake View · Deluxe Garden View · Suite Lake View · (1 reserve). Design only; build deferred until soft launch.</t>
  </si>
  <si>
    <t xml:space="preserve">  F · SHARED PAGES</t>
  </si>
  <si>
    <t>F.1</t>
  </si>
  <si>
    <t>About Us — brand story</t>
  </si>
  <si>
    <t>Master-brand origin, founding philosophy, leadership.</t>
  </si>
  <si>
    <t>Template</t>
  </si>
  <si>
    <t>F.2</t>
  </si>
  <si>
    <t>Experiences (unified)</t>
  </si>
  <si>
    <t>Wellness · Golf lifestyle · Healing — three editorial pillars shared across properties.</t>
  </si>
  <si>
    <t>Template + CMS taxonomy</t>
  </si>
  <si>
    <t>F.3</t>
  </si>
  <si>
    <t>Offers &amp; Packages</t>
  </si>
  <si>
    <t>Filterable by property and audience; experience-led naming (no discount-only).</t>
  </si>
  <si>
    <t>Template + filtering UI</t>
  </si>
  <si>
    <t>F.4</t>
  </si>
  <si>
    <t>Blog / News — list</t>
  </si>
  <si>
    <t>CMS-driven, 3-pillar taxonomy, infinite-scroll or pagination.</t>
  </si>
  <si>
    <t>F.5</t>
  </si>
  <si>
    <t>Blog / News — article</t>
  </si>
  <si>
    <t>SEO-optimised, social-share, related cross-sells to properties &amp; offers.</t>
  </si>
  <si>
    <t>F.6</t>
  </si>
  <si>
    <t>Careers</t>
  </si>
  <si>
    <t>Open positions list, structured-data JobPosting, application form.</t>
  </si>
  <si>
    <t>F.7</t>
  </si>
  <si>
    <t>Contact</t>
  </si>
  <si>
    <t>Property-routed forms, map, hotline, Zalo/Messenger, contact-by-purpose.</t>
  </si>
  <si>
    <t>Template + 3 forms</t>
  </si>
  <si>
    <t>F.8</t>
  </si>
  <si>
    <t>Search</t>
  </si>
  <si>
    <t>Site-wide search across properties, offers, blog. Suggestion + filter.</t>
  </si>
  <si>
    <t>Search module + index</t>
  </si>
  <si>
    <t>F.9</t>
  </si>
  <si>
    <t>Information pages</t>
  </si>
  <si>
    <t>Privacy policy, Terms, Cookie policy, 404, FAQ.</t>
  </si>
  <si>
    <t>5 templates</t>
  </si>
  <si>
    <t xml:space="preserve">  G · BOOKING INTEGRATIONS</t>
  </si>
  <si>
    <t>G.1</t>
  </si>
  <si>
    <t>Golf → VNPay</t>
  </si>
  <si>
    <t>Tee-time selection · greens-fee calc · VNPay payment · email confirmation · PMS push (data spec to be confirmed by VNPay).</t>
  </si>
  <si>
    <t>End-to-end booking flow live</t>
  </si>
  <si>
    <t>G.2</t>
  </si>
  <si>
    <t>Swiss-Belresort → Hotel Link → Smile PMS</t>
  </si>
  <si>
    <t>Real-time availability &amp; rate from Hotel Link channel manager; Smile PMS reservation push; booking confirmation; restorable PMS direct connection.</t>
  </si>
  <si>
    <t>G.3</t>
  </si>
  <si>
    <t>Persistent booking widget</t>
  </si>
  <si>
    <t>Sticky top-right CTA contextual per property ("Book Tee Time" / "Book Room"). Survives scroll.</t>
  </si>
  <si>
    <t>Sticky widget across all pages</t>
  </si>
  <si>
    <t>G.4</t>
  </si>
  <si>
    <t>Villa lead capture</t>
  </si>
  <si>
    <t>Newsletter form + interest form for villa launch waitlist; pushed to CRM/CSV export.</t>
  </si>
  <si>
    <t>Lead capture + 3rd-party feed</t>
  </si>
  <si>
    <t xml:space="preserve">  H · MULTI-LANGUAGE (VI / EN / KO)</t>
  </si>
  <si>
    <t>H.1</t>
  </si>
  <si>
    <t>Translation framework</t>
  </si>
  <si>
    <t>Per-language URL structure (/vi /en /ko), language switcher, fallback rules, hreflang tags, locale-aware date/currency.</t>
  </si>
  <si>
    <t>Multi-language infrastructure</t>
  </si>
  <si>
    <t>H.2</t>
  </si>
  <si>
    <t>Swiss-Bel identity priority for EN/KO</t>
  </si>
  <si>
    <t>Co-branded header on EN/KO surfaces "Swiss-Belresort Tuyen Lam" prominently for inbound brand recognition.</t>
  </si>
  <si>
    <t>Conditional branding rules</t>
  </si>
  <si>
    <t>H.3</t>
  </si>
  <si>
    <t>Translation memory hand-off</t>
  </si>
  <si>
    <t>Translation export/import workflow (XLIFF or CSV) for SAM's translation vendor. Vendor work-out-of-scope.</t>
  </si>
  <si>
    <t>Translation tooling docs</t>
  </si>
  <si>
    <t xml:space="preserve">  I · CONTENT MANAGEMENT SYSTEM</t>
  </si>
  <si>
    <t>I.1</t>
  </si>
  <si>
    <t>Headless / hybrid CMS setup</t>
  </si>
  <si>
    <t>Property pages set to static (admin-only); marketing-managed content (Offers, Blog, News, banners, pop-ups, gallery) freely editable.</t>
  </si>
  <si>
    <t>CMS instance + admin roles</t>
  </si>
  <si>
    <t>I.2</t>
  </si>
  <si>
    <t>Role-based access control</t>
  </si>
  <si>
    <t>Roles: Super-admin, Property Editor, Marketing, Translator, Read-only. Audit log.</t>
  </si>
  <si>
    <t>RBAC + audit</t>
  </si>
  <si>
    <t>I.3</t>
  </si>
  <si>
    <t>Featured Offers Cards engine</t>
  </si>
  <si>
    <t>Schedule offers, target by property/audience, A/B variant slots, expiry control.</t>
  </si>
  <si>
    <t>Offers module</t>
  </si>
  <si>
    <t>I.4</t>
  </si>
  <si>
    <t>Pop-up Campaign engine</t>
  </si>
  <si>
    <t>Large center modal + small left slide-in; schedule, target by URL/segment, frequency capping, dismiss persistence.</t>
  </si>
  <si>
    <t>Pop-up module</t>
  </si>
  <si>
    <t>I.5</t>
  </si>
  <si>
    <t>Newsletter integration</t>
  </si>
  <si>
    <t>Form capture → Mailchimp / SendGrid / Klaviyo (one provider). Double opt-in. (Email vendor account by client.)</t>
  </si>
  <si>
    <t>Newsletter integration live</t>
  </si>
  <si>
    <t xml:space="preserve">  J · SEO &amp; ANALYTICS</t>
  </si>
  <si>
    <t>J.1</t>
  </si>
  <si>
    <t>Technical SEO baseline</t>
  </si>
  <si>
    <t>Clean URLs · canonical · meta/OG · Open Graph images · sitemap.xml · robots.txt · hreflang · breadcrumb schema.</t>
  </si>
  <si>
    <t>SEO audit report (green)</t>
  </si>
  <si>
    <t>J.2</t>
  </si>
  <si>
    <t>Schema markup (Hotel, Golf, Restaurant, Event)</t>
  </si>
  <si>
    <t>Structured data per property type for richer SERP snippets.</t>
  </si>
  <si>
    <t>Schema validation pass</t>
  </si>
  <si>
    <t>J.3</t>
  </si>
  <si>
    <t>Google Analytics 4 + GTM</t>
  </si>
  <si>
    <t>GA4 property, GTM container, event taxonomy, booking-funnel events, source/medium taxonomy.</t>
  </si>
  <si>
    <t>GA4 + GTM live, events firing</t>
  </si>
  <si>
    <t>J.4</t>
  </si>
  <si>
    <t>Heatmap &amp; session replay</t>
  </si>
  <si>
    <t>Hotjar or Microsoft Clarity tag on key templates; sample size guidance.</t>
  </si>
  <si>
    <t>Tag live · sample dashboard</t>
  </si>
  <si>
    <t>J.5</t>
  </si>
  <si>
    <t>301 redirect map</t>
  </si>
  <si>
    <t>Full URL-by-URL map from 4 legacy domains to new URLs; bulk redirect rules; 404 catch &amp; monitoring.</t>
  </si>
  <si>
    <t>301 map + 404 monitor (90 days)</t>
  </si>
  <si>
    <t xml:space="preserve">  K · PERFORMANCE, ACCESSIBILITY &amp; TRUST</t>
  </si>
  <si>
    <t>K.1</t>
  </si>
  <si>
    <t>Core Web Vitals optimisation</t>
  </si>
  <si>
    <t>LCP/INP/CLS green on mobile &amp; desktop for top 10 templates. AVIF/WebP image pipeline. Lazy-load. Critical CSS.</t>
  </si>
  <si>
    <t>Lighthouse ≥ 90 mobile/desktop</t>
  </si>
  <si>
    <t>K.2</t>
  </si>
  <si>
    <t>WCAG 2.1 AA accessibility</t>
  </si>
  <si>
    <t>Colour contrast, focus state, keyboard nav, ARIA roles for nav/modals/carousels, alt text framework.</t>
  </si>
  <si>
    <t>Accessibility audit pass</t>
  </si>
  <si>
    <t>K.3</t>
  </si>
  <si>
    <t>Trust signal layer</t>
  </si>
  <si>
    <t>Award badges (Swiss-Bel certifications, golf awards), review aggregator widget, partner logos.</t>
  </si>
  <si>
    <t>Trust components in CMS</t>
  </si>
  <si>
    <t>K.4</t>
  </si>
  <si>
    <t>Browser &amp; device support matrix</t>
  </si>
  <si>
    <t>Documented support matrix</t>
  </si>
  <si>
    <t xml:space="preserve">  L · SECURITY &amp; COMPLIANCE</t>
  </si>
  <si>
    <t>L.1</t>
  </si>
  <si>
    <t>Security hardening (OWASP Top 10)</t>
  </si>
  <si>
    <t>Input validation, output encoding, CSRF, secure session, security headers, dependency scanning. Closes posture issues from prior incident.</t>
  </si>
  <si>
    <t>OWASP checklist signed off</t>
  </si>
  <si>
    <t>L.2</t>
  </si>
  <si>
    <t>Web Application Firewall + DDoS</t>
  </si>
  <si>
    <t>Cloudflare WAF or equivalent, rate-limit rules, bot mitigation.</t>
  </si>
  <si>
    <t>WAF rules live</t>
  </si>
  <si>
    <t>L.3</t>
  </si>
  <si>
    <t>Privacy &amp; cookie compliance</t>
  </si>
  <si>
    <t>Cookie consent banner (Vietnam PDPL + GDPR-aware EU/KR), preference center, privacy policy templates VI/EN/KO.</t>
  </si>
  <si>
    <t>Cookie consent live + policy</t>
  </si>
  <si>
    <t>L.4</t>
  </si>
  <si>
    <t>Backup &amp; disaster recovery</t>
  </si>
  <si>
    <t>Daily automated backups, weekly off-site, documented RTO/RPO (4h / 24h), restore tested.</t>
  </si>
  <si>
    <t>Backup runbook + restore drill</t>
  </si>
  <si>
    <t>L.5</t>
  </si>
  <si>
    <t>Legacy site archive</t>
  </si>
  <si>
    <t>Static archive of 4 legacy sites + media (read-only) for compliance/historical reference before redirect cutover.</t>
  </si>
  <si>
    <t>Cold-storage archive bundle</t>
  </si>
  <si>
    <t xml:space="preserve">  M · 360° VR INTEGRATION</t>
  </si>
  <si>
    <t>M.1</t>
  </si>
  <si>
    <t>VR media re-integration</t>
  </si>
  <si>
    <t>Existing samtuyenlam.com.vn 360° media re-mounted as tab/modules inside Room Type pages, Property Galleries, and Experience pages. No standalone VR site.</t>
  </si>
  <si>
    <t>VR module embedded in 4+ pages</t>
  </si>
  <si>
    <t xml:space="preserve">  N · LIVE CHAT</t>
  </si>
  <si>
    <t>N.1</t>
  </si>
  <si>
    <t>Zalo OA + Facebook Messenger</t>
  </si>
  <si>
    <t>Persistent floating widget across all pages; conversation routing per property.</t>
  </si>
  <si>
    <t>Live chat widget live</t>
  </si>
  <si>
    <t xml:space="preserve">  O · DOMAIN MIGRATION</t>
  </si>
  <si>
    <t>O.1</t>
  </si>
  <si>
    <t>Domain cutover plan</t>
  </si>
  <si>
    <t>DNS swap, SSL provisioning, redirect deployment, search-console reverification across 4 legacy domains. 90-day monitoring of 404s &amp; rankings.</t>
  </si>
  <si>
    <t>Cutover runbook executed</t>
  </si>
  <si>
    <t xml:space="preserve">  P · QA, UAT &amp; LAUNCH</t>
  </si>
  <si>
    <t>P.1</t>
  </si>
  <si>
    <t>Cross-browser &amp; device QA</t>
  </si>
  <si>
    <t>Test matrix: 5 browsers × 3 device classes × 3 languages = 45 surfaces.</t>
  </si>
  <si>
    <t>QA report (zero P1/P2 open)</t>
  </si>
  <si>
    <t>P.2</t>
  </si>
  <si>
    <t>Booking-flow end-to-end test</t>
  </si>
  <si>
    <t>3 booking systems × 3 user scenarios each = 9 happy-path + 6 edge-case scenarios.</t>
  </si>
  <si>
    <t>Booking QA sign-off</t>
  </si>
  <si>
    <t>P.3</t>
  </si>
  <si>
    <t>UAT support</t>
  </si>
  <si>
    <t>Two structured UAT cycles with client team; bug triage; defect resolution.</t>
  </si>
  <si>
    <t>UAT sign-off</t>
  </si>
  <si>
    <t>P.4</t>
  </si>
  <si>
    <t>Go-live &amp; launch monitoring</t>
  </si>
  <si>
    <t>Coordinated go-live, real-time monitoring, rollback plan ready.</t>
  </si>
  <si>
    <t>Successful launch</t>
  </si>
  <si>
    <t xml:space="preserve">  Q · TRAINING &amp; KNOWLEDGE TRANSFER</t>
  </si>
  <si>
    <t>Q.1</t>
  </si>
  <si>
    <t>CMS training workshops</t>
  </si>
  <si>
    <t>Two half-day sessions for marketing team: content publishing, offers/pop-ups, blog, media library.</t>
  </si>
  <si>
    <t>Trained team + recordings</t>
  </si>
  <si>
    <t>Q.2</t>
  </si>
  <si>
    <t>Admin &amp; operations handbook</t>
  </si>
  <si>
    <t>Written guides: CMS, deployment, backup/restore, escalation paths.</t>
  </si>
  <si>
    <t>Operations handbook (PDF)</t>
  </si>
  <si>
    <t>Q.3</t>
  </si>
  <si>
    <t>Source code &amp; asset handover</t>
  </si>
  <si>
    <t>Git repository transfer, design files, infrastructure-as-code, credential vault hand-off.</t>
  </si>
  <si>
    <t>Repository + key handover</t>
  </si>
  <si>
    <t xml:space="preserve">  R · POST-LAUNCH HYPERCARE</t>
  </si>
  <si>
    <t>R.1</t>
  </si>
  <si>
    <t>4-week intensive hypercare</t>
  </si>
  <si>
    <t>Dedicated team on stand-by post-launch: bug triage &lt;4h response, daily health checks, weekly status call.</t>
  </si>
  <si>
    <t>Stability sign-off after week 4</t>
  </si>
  <si>
    <t xml:space="preserve">  Phase 1 — Design, Build &amp; Launch — Detailed Pricing</t>
  </si>
  <si>
    <t xml:space="preserve">  Blended rate: 19.25 USD / hour  ·  FX reference: 1 USD = 26,000 VND  ·  Hour cost: 500,500 VND/h  ·  All figures incl. 10% VAT in Grand Total</t>
  </si>
  <si>
    <t>WORKSTREAM</t>
  </si>
  <si>
    <t>DELIVERABLE</t>
  </si>
  <si>
    <t>EFFORT (HOURS)</t>
  </si>
  <si>
    <t>PRICE (VND)</t>
  </si>
  <si>
    <t>PRICE (USD)</t>
  </si>
  <si>
    <t>QTY</t>
  </si>
  <si>
    <t>NOTES</t>
  </si>
  <si>
    <t>BA</t>
  </si>
  <si>
    <t>DESIGN</t>
  </si>
  <si>
    <t>DEV</t>
  </si>
  <si>
    <t>PM</t>
  </si>
  <si>
    <t>TOTAL</t>
  </si>
  <si>
    <t>A. Discovery &amp; Foundation</t>
  </si>
  <si>
    <t>Sitemap, URL strategy, hreflang map.</t>
  </si>
  <si>
    <t>Figma system: typography, colour, components, dark/light tokens.</t>
  </si>
  <si>
    <t>B. Brand Home</t>
  </si>
  <si>
    <t>Brand Home — master template (10 blocks)</t>
  </si>
  <si>
    <t>Hero video, brand narrative, 3 gateways, 3 pillars, offers, audience links, gallery, blog, newsletter, footer.</t>
  </si>
  <si>
    <t>C. Golf Property</t>
  </si>
  <si>
    <t>Golf property overview (6 blocks)</t>
  </si>
  <si>
    <t>Hero · Course intro · 18-Hole/Coaching/Club House · Lifestyle · Gallery + 360° · CTA.</t>
  </si>
  <si>
    <t>Club House sub-pages (Restaurant · Rooms · Pro Shop)</t>
  </si>
  <si>
    <t>3 sub-templates.</t>
  </si>
  <si>
    <t>D. Swiss-Belresort</t>
  </si>
  <si>
    <t>Resort property overview (7 blocks)</t>
  </si>
  <si>
    <t>Hero w/ Swiss-Bel identity · 151-room intro · Room grid · Spa · Dining · MICE · Experiences · Gallery · CTA.</t>
  </si>
  <si>
    <t>Spa &amp; Wellness sub-page</t>
  </si>
  <si>
    <t>Dining sub-page</t>
  </si>
  <si>
    <t>MICE &amp; Events sub-page</t>
  </si>
  <si>
    <t>Venue specs, capacity, RFP form.</t>
  </si>
  <si>
    <t>E. Villa (deferred launch)</t>
  </si>
  <si>
    <t>Villa teaser (Coming Soon) + lead form</t>
  </si>
  <si>
    <t>No live booking. Brand storytelling + waitlist capture.</t>
  </si>
  <si>
    <t>Villa Room Type design templates (design-only)</t>
  </si>
  <si>
    <t>Standard, Deluxe Lake/Garden View, Suite Lake View, +1. Build deferred.</t>
  </si>
  <si>
    <t>F. Shared Pages</t>
  </si>
  <si>
    <t>Experiences (Wellness · Golf · Healing)</t>
  </si>
  <si>
    <t>3 editorial pillars shared across properties.</t>
  </si>
  <si>
    <t>Offers &amp; Packages — filterable</t>
  </si>
  <si>
    <t>Filter by property × audience; CMS-driven cards.</t>
  </si>
  <si>
    <t>Blog / News — listing</t>
  </si>
  <si>
    <t>Blog / News — article detail</t>
  </si>
  <si>
    <t>Careers (with JobPosting schema)</t>
  </si>
  <si>
    <t>Contact — property-routed forms (×3)</t>
  </si>
  <si>
    <t>Map, hotline, Zalo/Messenger embed.</t>
  </si>
  <si>
    <t>Search — site-wide</t>
  </si>
  <si>
    <t>Cross-property search index.</t>
  </si>
  <si>
    <t>Information pages (Privacy/Terms/Cookie/404/FAQ)</t>
  </si>
  <si>
    <t>One-time</t>
  </si>
  <si>
    <t>5 templates · mostly text.</t>
  </si>
  <si>
    <t>G. Booking Integrations</t>
  </si>
  <si>
    <t>Golf → VNPay payment flow</t>
  </si>
  <si>
    <t>Tee-time, fee calc, VNPay, confirmation, PMS push.</t>
  </si>
  <si>
    <t>Real-time avail/rate, reservation push, confirmation.</t>
  </si>
  <si>
    <t>Persistent booking widget (sticky)</t>
  </si>
  <si>
    <t>Top-right sticky CTA contextual per property.</t>
  </si>
  <si>
    <t>Villa lead capture → CRM/CSV</t>
  </si>
  <si>
    <t>Form + webhook to client CRM.</t>
  </si>
  <si>
    <t>H. Multi-language</t>
  </si>
  <si>
    <t>Multi-language framework (VI/EN/KO)</t>
  </si>
  <si>
    <t>URL structure, switcher, hreflang, locale-aware formatting.</t>
  </si>
  <si>
    <t>I. CMS</t>
  </si>
  <si>
    <t>CMS setup (headless/hybrid) + DB structure</t>
  </si>
  <si>
    <t>Multi-property data model, multi-language entries, media library.</t>
  </si>
  <si>
    <t>Role-based access control + audit log</t>
  </si>
  <si>
    <t>Super-admin, Property Editor, Marketing, Translator, Read-only.</t>
  </si>
  <si>
    <t>Schedule, target, A/B variants, expiry.</t>
  </si>
  <si>
    <t>Large center modal + small left slide-in; schedule, target, frequency cap.</t>
  </si>
  <si>
    <t>Newsletter integration (one provider)</t>
  </si>
  <si>
    <t>Mailchimp/SendGrid/Klaviyo. Vendor account by client.</t>
  </si>
  <si>
    <t>Content &amp; media migration plan</t>
  </si>
  <si>
    <t>Mapping from 4 legacy sites; asset re-encoding.</t>
  </si>
  <si>
    <t>J. SEO &amp; Analytics</t>
  </si>
  <si>
    <t>Canonical, meta/OG, sitemap.xml, robots.txt, breadcrumb schema, hreflang.</t>
  </si>
  <si>
    <t>Schema markup (Hotel · Golf · Restaurant · Event)</t>
  </si>
  <si>
    <t>Structured data for rich SERP snippets.</t>
  </si>
  <si>
    <t>GA4 + GTM event taxonomy</t>
  </si>
  <si>
    <t>Booking-funnel events, source/medium, custom dimensions.</t>
  </si>
  <si>
    <t>Heatmap &amp; session replay (Hotjar/Clarity)</t>
  </si>
  <si>
    <t>301 redirect map (URL-by-URL)</t>
  </si>
  <si>
    <t>Map across 4 legacy domains + bulk rules.</t>
  </si>
  <si>
    <t>K. Performance &amp; A11y</t>
  </si>
  <si>
    <t>LCP/INP/CLS green; AVIF/WebP pipeline; critical CSS.</t>
  </si>
  <si>
    <t>Contrast, focus, keyboard nav, ARIA, alt-text framework.</t>
  </si>
  <si>
    <t>Trust signal layer (awards · Swiss-Bel · reviews)</t>
  </si>
  <si>
    <t>CMS-managed badges &amp; review aggregator widget.</t>
  </si>
  <si>
    <t>L. Security &amp; Compliance</t>
  </si>
  <si>
    <t>Closes posture issues from prior incident.</t>
  </si>
  <si>
    <t>WAF + DDoS protection configuration</t>
  </si>
  <si>
    <t>Cookie consent + privacy policy (VI/EN/KO)</t>
  </si>
  <si>
    <t>Vietnam PDPL + GDPR-aware preference center.</t>
  </si>
  <si>
    <t>Backup &amp; DR runbook + restore drill</t>
  </si>
  <si>
    <t>RTO 4h / RPO 24h; restore drill before go-live.</t>
  </si>
  <si>
    <t>Legacy site archive (4 domains, read-only)</t>
  </si>
  <si>
    <t>Static snapshot + media bundle for compliance.</t>
  </si>
  <si>
    <t>M. 360° VR</t>
  </si>
  <si>
    <t>360° VR re-integration into property pages</t>
  </si>
  <si>
    <t>Embed existing media as tabs/modules in Room Type + Gallery + Experiences.</t>
  </si>
  <si>
    <t>N. Live Chat</t>
  </si>
  <si>
    <t>Zalo OA + Facebook Messenger widget</t>
  </si>
  <si>
    <t>O. Migration</t>
  </si>
  <si>
    <t>Domain cutover plan + 90-day 404 monitor</t>
  </si>
  <si>
    <t>DNS, SSL, redirect deploy, search-console reverification.</t>
  </si>
  <si>
    <t>P. QA &amp; Launch</t>
  </si>
  <si>
    <t>5 browsers × 3 device classes × 3 languages.</t>
  </si>
  <si>
    <t>UAT support (2 cycles)</t>
  </si>
  <si>
    <t>Coordinated go-live; rollback plan ready.</t>
  </si>
  <si>
    <t>Q. Training &amp; Handover</t>
  </si>
  <si>
    <t>CMS training workshops (×2 half-day)</t>
  </si>
  <si>
    <t>Recorded sessions for marketing team.</t>
  </si>
  <si>
    <t>PDF + searchable web doc.</t>
  </si>
  <si>
    <t>Source code + asset handover</t>
  </si>
  <si>
    <t>Git transfer, infra-as-code, credential vault.</t>
  </si>
  <si>
    <t>SUBTOTAL (before discount &amp; VAT)</t>
  </si>
  <si>
    <t>VAT (10%)</t>
  </si>
  <si>
    <t xml:space="preserve">  Effort estimates apply our blended team rate (Business Analysis, Visual Design, Engineering, Project Management). One-time items are fixed-fee. Volume discount of 15% reflects programme scale across three properties. Grand Total is VAT-inclusive.</t>
  </si>
  <si>
    <t xml:space="preserve">  Phase 2 — Hosting &amp; Managed Services (Year 1)</t>
  </si>
  <si>
    <t xml:space="preserve">  Year-1 infrastructure and SLA-backed managed services. Hosted on enterprise cloud with daily backups, hardened security posture (post-incident baseline), and 20 hours of dedicated technical support per month.</t>
  </si>
  <si>
    <t>ITEM</t>
  </si>
  <si>
    <t>TERM</t>
  </si>
  <si>
    <t>DESCRIPTION</t>
  </si>
  <si>
    <t>Cloud Infrastructure</t>
  </si>
  <si>
    <t>Enterprise hosting — multi-site, high-traffic profile</t>
  </si>
  <si>
    <t>CDN — Cloudflare Pro (global edge, image optimisation)</t>
  </si>
  <si>
    <t>Tunes Core Web Vitals; AVIF/WebP; global cache; bot management</t>
  </si>
  <si>
    <t>SSL Wildcard certificate (all subdomains)</t>
  </si>
  <si>
    <t>Valued at 1,800,000 ₫ — included at no charge</t>
  </si>
  <si>
    <t>WAF + DDoS protection (application layer)</t>
  </si>
  <si>
    <t>Valued at 5,580,000 ₫ — included at no charge. Mandatory given prior incident posture.</t>
  </si>
  <si>
    <t>Managed Services</t>
  </si>
  <si>
    <t>3 months free at start — valued 6,600,000 ₫</t>
  </si>
  <si>
    <t>Setup</t>
  </si>
  <si>
    <t>Initial migration &amp; DNS cutover</t>
  </si>
  <si>
    <t>Free of charge</t>
  </si>
  <si>
    <t>DNS swap from legacy hosts; SSL provisioning; first-deploy.</t>
  </si>
  <si>
    <t>GRAND TOTAL — Phase 2 (VAT included)</t>
  </si>
  <si>
    <t xml:space="preserve">  Billing options — quarterly (default) or annual prepayment (additional 5% discount). Service term renewable annually. Third-party license fees (Hotel Link, VNPay, Hotjar, Zalo OA) are billed directly by the providers and are not included in this Phase 2 figure.</t>
  </si>
  <si>
    <t xml:space="preserve">  Project Timeline — 20-Week Build + 12-Month Operations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</si>
  <si>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</si>
  <si>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</si>
  <si>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</si>
  <si>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</si>
  <si>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</si>
  <si>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</si>
  <si>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</si>
  <si>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</si>
  <si>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</si>
  <si>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</si>
  <si>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</si>
  <si>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</si>
  <si>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</si>
  <si>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</si>
  <si>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</si>
  <si>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</si>
  <si>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</si>
  <si>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</si>
  <si>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</si>
  <si>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</si>
  <si>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KEY DELIVERABLE</t>
  </si>
  <si>
    <t>M0 · Discovery</t>
  </si>
  <si>
    <t>M1 · Design</t>
  </si>
  <si>
    <t>M2 · Build</t>
  </si>
  <si>
    <t>M3 · Integrate</t>
  </si>
  <si>
    <t>M4 · Launch</t>
  </si>
  <si>
    <t>Discovery workshops</t>
  </si>
  <si>
    <t>Discovery report + asset audit</t>
  </si>
  <si>
    <t>Information architecture</t>
  </si>
  <si>
    <t>Sitemap &amp; URL strategy approved</t>
  </si>
  <si>
    <t>Brand narrative</t>
  </si>
  <si>
    <t>Brand voice + content strategy</t>
  </si>
  <si>
    <t>Design system</t>
  </si>
  <si>
    <t>Design system in Figma</t>
  </si>
  <si>
    <t>Visual design — templates</t>
  </si>
  <si>
    <t>14 templates approved</t>
  </si>
  <si>
    <t>Backend &amp; CMS setup</t>
  </si>
  <si>
    <t>CMS + RBAC operational</t>
  </si>
  <si>
    <t>Frontend build</t>
  </si>
  <si>
    <t>Static build delivered</t>
  </si>
  <si>
    <t>Multi-language framework</t>
  </si>
  <si>
    <t>VI/EN/KO switching live</t>
  </si>
  <si>
    <t>Golf booking → VNPay</t>
  </si>
  <si>
    <t>Booking flow live</t>
  </si>
  <si>
    <t>Resort booking → Hotel Link</t>
  </si>
  <si>
    <t>360° VR integration</t>
  </si>
  <si>
    <t>360° embedded in pages</t>
  </si>
  <si>
    <t>Live chat · Analytics · SEO</t>
  </si>
  <si>
    <t>GA4 + chat + SEO baseline</t>
  </si>
  <si>
    <t>Content &amp; media migration</t>
  </si>
  <si>
    <t>Content live in CMS</t>
  </si>
  <si>
    <t>QA — cross-browser &amp; device</t>
  </si>
  <si>
    <t>QA report (P1/P2 zero)</t>
  </si>
  <si>
    <t>UAT — 2 client cycles</t>
  </si>
  <si>
    <t>301 redirects + cutover</t>
  </si>
  <si>
    <t>4 legacy domains redirected</t>
  </si>
  <si>
    <t>Security hardening</t>
  </si>
  <si>
    <t>Go-live + monitoring</t>
  </si>
  <si>
    <t>Production launch</t>
  </si>
  <si>
    <t>Training &amp; handover</t>
  </si>
  <si>
    <t>Trained team + handbook</t>
  </si>
  <si>
    <t xml:space="preserve">  POST-LAUNCH  —  4 weeks intensive hypercare (W21-W24)  ·  then 12 months Managed Services with SLA &amp; monthly performance reviews</t>
  </si>
  <si>
    <t>Legend:</t>
  </si>
  <si>
    <t>Discovery</t>
  </si>
  <si>
    <t>Design / Build</t>
  </si>
  <si>
    <t>Launch</t>
  </si>
  <si>
    <t xml:space="preserve">  Commercial Terms, Assumptions &amp; Exclusions</t>
  </si>
  <si>
    <t xml:space="preserve">  01 · PAYMENT SCHEDULE — PHASE 1</t>
  </si>
  <si>
    <t>Milestone 1 — Kickoff</t>
  </si>
  <si>
    <t>30%  ·  Payable within 7 business days of contract signature.</t>
  </si>
  <si>
    <t>Milestone 2 — Design Approval</t>
  </si>
  <si>
    <t>30%  ·  Payable upon written acceptance of UI/UX visual design (end of M1).</t>
  </si>
  <si>
    <t>Milestone 3 — UAT Sign-off</t>
  </si>
  <si>
    <t>30%  ·  Payable upon UAT acceptance, prior to production launch (end of M3).</t>
  </si>
  <si>
    <t>Milestone 4 — Launch &amp; Handover</t>
  </si>
  <si>
    <t>10%  ·  Payable within 14 business days of go-live and complete handover (end of M4).</t>
  </si>
  <si>
    <t>Phase 2 — Hosting &amp; Support</t>
  </si>
  <si>
    <t>Quarterly billing in advance, OR annual prepayment with 5% additional discount.</t>
  </si>
  <si>
    <t xml:space="preserve">  02 · CHANGE REQUEST POLICY</t>
  </si>
  <si>
    <t>Minor changes</t>
  </si>
  <si>
    <t>Changes inside agreed scope (e.g. copy tweaks, image swaps, layout micro-adjustments within a delivered template) are handled at no additional charge during the active sprint.</t>
  </si>
  <si>
    <t>Scope changes</t>
  </si>
  <si>
    <t>Net-new pages, integrations, templates, or workflows are estimated separately and signed off as a Change Order before work begins. Billed at the blended rate.</t>
  </si>
  <si>
    <t>Design revisions</t>
  </si>
  <si>
    <t>Three rounds of design revisions are included per template. Additional rounds quoted at the blended rate.</t>
  </si>
  <si>
    <t>Scope freeze</t>
  </si>
  <si>
    <t>Scope and visual design are frozen at end of M1. Subsequent changes follow the Change Order process.</t>
  </si>
  <si>
    <t xml:space="preserve">  03 · WARRANTY &amp; SUPPORT</t>
  </si>
  <si>
    <t>Post-launch warranty (90 days)</t>
  </si>
  <si>
    <t>Defects against agreed acceptance criteria fixed at no additional charge for 90 days from go-live.</t>
  </si>
  <si>
    <t>Hypercare (4 weeks)</t>
  </si>
  <si>
    <t>Dedicated team on standby immediately post-launch: &lt;4-hour response on production incidents, daily health checks, weekly status call.</t>
  </si>
  <si>
    <t>Managed services (Phase 2)</t>
  </si>
  <si>
    <t>20 hours of monthly support, priority response &lt;4 hours, with full SLA defined in the Hosting &amp; Managed Services schedule.</t>
  </si>
  <si>
    <t xml:space="preserve">  04 · ENGAGEMENT ASSUMPTIONS</t>
  </si>
  <si>
    <t>✓</t>
  </si>
  <si>
    <t>Client provides a single empowered decision-maker per workstream (Marketing, IT, Property GMs).</t>
  </si>
  <si>
    <t>Client provides master content in Vietnamese on agreed schedule. Each week of content delay extends launch by the equivalent duration.</t>
  </si>
  <si>
    <t>Client provides API credentials and signs vendor NDAs/agreements with VNPay, Hotel Link, Smile PMS, Zalo OA, Facebook in time for M3 integration.</t>
  </si>
  <si>
    <t>Client provides existing photo &amp; video assets (current 360° media, brand photography, room photography) by end of M0.</t>
  </si>
  <si>
    <t>EN and KO translations are produced by Client's translation vendor using our XLIFF/CSV export. Translation execution is out-of-scope.</t>
  </si>
  <si>
    <t>Client appoints UAT testers for two structured cycles in M4.</t>
  </si>
  <si>
    <t>Hosting Phase 2 begins on go-live; first invoice issued within 7 days of launch.</t>
  </si>
  <si>
    <t>All pricing is in Vietnamese Dong (VND). USD figures are reference only at the FX rate stated.</t>
  </si>
  <si>
    <t xml:space="preserve">  05 · OUT OF SCOPE / EXCLUSIONS</t>
  </si>
  <si>
    <t>✗</t>
  </si>
  <si>
    <t>Third-party SaaS license fees (Hotel Link, VNPay merchant fees, Hotjar, Zalo OA premium, Mailchimp, font/stock asset licenses) — billed directly by providers.</t>
  </si>
  <si>
    <t>New filming, photography, drone capture, or 3D scans (for hero video and new room photography). Quoted separately if required.</t>
  </si>
  <si>
    <t>Content writing in Vietnamese (master content) and translation production into EN and KO.</t>
  </si>
  <si>
    <t>Ongoing SEO content marketing, paid media management, social media management — quoted as separate engagement.</t>
  </si>
  <si>
    <t>Property Management System (PMS) software licensing and configuration changes inside Smile PMS.</t>
  </si>
  <si>
    <t>Hardware procurement (servers, devices) and on-premise infrastructure changes.</t>
  </si>
  <si>
    <t>Custom mobile apps (iOS/Android). The website is fully responsive on mobile browsers.</t>
  </si>
  <si>
    <t>Loyalty programme platform, gift voucher engine, or third-party CRM integration beyond the Newsletter and Lead-capture handoff specified.</t>
  </si>
  <si>
    <t>Re-design or feature work after the 90-day warranty period — handled under Phase 2 Managed Services time pool or as a separate Change Order.</t>
  </si>
  <si>
    <t xml:space="preserve">  06 · INTELLECTUAL PROPERTY &amp; CONFIDENTIALITY</t>
  </si>
  <si>
    <t>Custom code &amp; design</t>
  </si>
  <si>
    <t>Upon final payment, all custom code and original design assets created specifically for SAM Tuyen Lam become the exclusive property of the Client.</t>
  </si>
  <si>
    <t>Third-party components</t>
  </si>
  <si>
    <t>Open-source libraries and third-party plug-ins remain under their original licenses (MIT, Apache 2.0, etc.). License compliance documentation provided at handover.</t>
  </si>
  <si>
    <t>Confidentiality</t>
  </si>
  <si>
    <t>Both parties agree to keep this proposal, the engagement, and all shared business information confidential for a period of 3 years from disclosure.</t>
  </si>
  <si>
    <t>Portfolio rights</t>
  </si>
  <si>
    <t>Blue Coral may reference the project in our portfolio (name, screenshots, public-facing case study) unless Client opts out in writing.</t>
  </si>
  <si>
    <t xml:space="preserve">  07 · ACCEPTANCE</t>
  </si>
  <si>
    <t xml:space="preserve">  By signing below, both parties accept the scope, pricing, timeline, and commercial terms set out in this proposal and its referenced sheets.</t>
  </si>
  <si>
    <t>FOR BLUE CORAL (ADNS)</t>
  </si>
  <si>
    <t xml:space="preserve">
Name:</t>
  </si>
  <si>
    <t>Mr. Nguyen</t>
  </si>
  <si>
    <t>Title:</t>
  </si>
  <si>
    <t>Managing Director</t>
  </si>
  <si>
    <t>Signature:</t>
  </si>
  <si>
    <t>Date:</t>
  </si>
  <si>
    <t>FOR SAM TUYEN LAM</t>
  </si>
  <si>
    <t>______________</t>
  </si>
  <si>
    <t>Authorised Representative</t>
  </si>
  <si>
    <t>BLUE CORAL</t>
  </si>
  <si>
    <t>SAM Tuyen Lam
Website Consolidation Programme</t>
  </si>
  <si>
    <t>PROPOSAL  &amp;  QUOTATION</t>
  </si>
  <si>
    <t>nguyen@bluecoral.vn · +84 979 477 101</t>
  </si>
  <si>
    <t>CPU 4 cores · RAM 8 GB · SSD 120 GB · daily backup · weekly snapshot</t>
  </si>
  <si>
    <t>5 hours of technical support per month
· Managed hosting &amp; SSL
· Daily backups + weekly off-site
· Security &amp; threat scans (weekly)
· Uptime monitoring 99.9% SLA
· Performance &amp; SEO on-page tweaks
· Priority response &lt; 4 hours
· Module configuration &amp; consulting
· Source-code &amp; version control
· Monthly performance report</t>
  </si>
  <si>
    <t>GRAND TOTAL (VAT included)</t>
  </si>
  <si>
    <t xml:space="preserve">Cross-browser &amp; device QA </t>
  </si>
  <si>
    <t xml:space="preserve">Room Type detail pages </t>
  </si>
  <si>
    <t>3 room layouts: Deluxe MV/GV, Studio MV, Family Deluxe, King Suite, Royal Suite, Standard.</t>
  </si>
  <si>
    <t>Modern evergreen browsers (Chrome, Edge, Safari, Firefox latest-2); iOS 15+; Android 10+; IE not supported.</t>
  </si>
  <si>
    <t>Room Type pages (×3)</t>
  </si>
  <si>
    <t>3 detail templates with 360°</t>
  </si>
  <si>
    <t>1 Figma templates (design-only)</t>
  </si>
  <si>
    <t>Villa Room Type design templates (×1)</t>
  </si>
  <si>
    <t>/</t>
  </si>
  <si>
    <t>Volume discount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</si>
</sst>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₫-42A]"/>
    <numFmt numFmtId="165" formatCode="&quot;~ $&quot;#,##0&quot;   ·   VAT included&quot;"/>
    <numFmt numFmtId="166" formatCode="&quot;$&quot;#,##0"/>
  </numFmts>
  <fonts count="40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C19A5B"/>
      <name val="Calibri"/>
      <family val="2"/>
    </font>
    <font>
      <b/>
      <sz val="12"/>
      <color rgb="FFC19A5B"/>
      <name val="Calibri"/>
      <family val="2"/>
    </font>
    <font>
      <b/>
      <sz val="28"/>
      <color rgb="FFFFFFFF"/>
      <name val="Calibri"/>
      <family val="2"/>
    </font>
    <font>
      <i/>
      <sz val="11"/>
      <color rgb="FFD5DBE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1F3A5F"/>
      <name val="Calibri"/>
      <family val="2"/>
    </font>
    <font>
      <b/>
      <sz val="10"/>
      <color rgb="FFFFFFFF"/>
      <name val="Calibri"/>
      <family val="2"/>
    </font>
    <font>
      <b/>
      <sz val="14"/>
      <color rgb="FF0F1F3D"/>
      <name val="Calibri"/>
      <family val="2"/>
    </font>
    <font>
      <i/>
      <sz val="9"/>
      <color rgb="FF2C3E50"/>
      <name val="Calibri"/>
      <family val="2"/>
    </font>
    <font>
      <b/>
      <sz val="10"/>
      <color rgb="FF2C3E50"/>
      <name val="Calibri"/>
      <family val="2"/>
    </font>
    <font>
      <sz val="10"/>
      <color rgb="FF1F2937"/>
      <name val="Calibri"/>
      <family val="2"/>
    </font>
    <font>
      <i/>
      <sz val="9"/>
      <color rgb="FF6B7280"/>
      <name val="Calibri"/>
      <family val="2"/>
    </font>
    <font>
      <i/>
      <sz val="8"/>
      <color rgb="FF6B7280"/>
      <name val="Calibri"/>
      <family val="2"/>
    </font>
    <font>
      <b/>
      <sz val="14"/>
      <color rgb="FF1F3A5F"/>
      <name val="Calibri"/>
      <family val="2"/>
    </font>
    <font>
      <b/>
      <sz val="12"/>
      <color rgb="FFFFFFFF"/>
      <name val="Calibri"/>
      <family val="2"/>
    </font>
    <font>
      <sz val="9"/>
      <color rgb="FF1F2937"/>
      <name val="Calibri"/>
      <family val="2"/>
    </font>
    <font>
      <b/>
      <sz val="10"/>
      <color rgb="FF1F2937"/>
      <name val="Calibri"/>
      <family val="2"/>
    </font>
    <font>
      <b/>
      <sz val="10"/>
      <color rgb="FF1F3A5F"/>
      <name val="Calibri"/>
      <family val="2"/>
    </font>
    <font>
      <sz val="9"/>
      <color rgb="FF2C3E50"/>
      <name val="Calibri"/>
      <family val="2"/>
    </font>
    <font>
      <b/>
      <sz val="10"/>
      <color rgb="FF0F1F3D"/>
      <name val="Calibri"/>
      <family val="2"/>
    </font>
    <font>
      <sz val="10"/>
      <color rgb="FF2C3E50"/>
      <name val="Calibri"/>
      <family val="2"/>
    </font>
    <font>
      <b/>
      <sz val="12"/>
      <color rgb="FF0F1F3D"/>
      <name val="Calibri"/>
      <family val="2"/>
    </font>
    <font>
      <b/>
      <sz val="11"/>
      <color rgb="FFC19A5B"/>
      <name val="Calibri"/>
      <family val="2"/>
    </font>
    <font>
      <i/>
      <sz val="10"/>
      <color rgb="FF2C3E50"/>
      <name val="Calibri"/>
      <family val="2"/>
    </font>
    <font>
      <b/>
      <sz val="10"/>
      <color rgb="FFC19A5B"/>
      <name val="Calibri"/>
      <family val="2"/>
    </font>
    <font>
      <i/>
      <sz val="9"/>
      <color rgb="FF2D6A4F"/>
      <name val="Calibri"/>
      <family val="2"/>
    </font>
    <font>
      <b/>
      <sz val="9"/>
      <color rgb="FFFFFFFF"/>
      <name val="Calibri"/>
      <family val="2"/>
    </font>
    <font>
      <sz val="9"/>
      <color rgb="FF6B7280"/>
      <name val="Calibri"/>
      <family val="2"/>
    </font>
    <font>
      <sz val="10"/>
      <color rgb="FF6B7280"/>
      <name val="Calibri"/>
      <family val="2"/>
    </font>
    <font>
      <b/>
      <sz val="11"/>
      <color rgb="FF2C3E50"/>
      <name val="Calibri"/>
      <family val="2"/>
    </font>
    <font>
      <sz val="10"/>
      <color rgb="FFA93226"/>
      <name val="Calibri"/>
      <family val="2"/>
    </font>
    <font>
      <sz val="9"/>
      <color rgb="FFA93226"/>
      <name val="Calibri"/>
      <family val="2"/>
    </font>
    <font>
      <b/>
      <sz val="11"/>
      <color rgb="FF0F1F3D"/>
      <name val="Calibri"/>
      <family val="2"/>
    </font>
    <font>
      <i/>
      <sz val="10"/>
      <color rgb="FF6B7280"/>
      <name val="Calibri"/>
      <family val="2"/>
    </font>
    <font>
      <b/>
      <sz val="9"/>
      <color rgb="FF2C3E50"/>
      <name val="Calibri"/>
      <family val="2"/>
    </font>
    <font>
      <b/>
      <sz val="12"/>
      <color rgb="FF2D6A4F"/>
      <name val="Calibri"/>
      <family val="2"/>
    </font>
    <font>
      <b/>
      <sz val="12"/>
      <color rgb="FFA9322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F1F3D"/>
      </patternFill>
    </fill>
    <fill>
      <patternFill patternType="solid">
        <fgColor rgb="FFC19A5B"/>
      </patternFill>
    </fill>
    <fill>
      <patternFill patternType="solid">
        <fgColor rgb="FFF4F6F8"/>
      </patternFill>
    </fill>
    <fill>
      <patternFill patternType="solid">
        <fgColor rgb="FF1F3A5F"/>
      </patternFill>
    </fill>
    <fill>
      <patternFill patternType="solid">
        <fgColor rgb="FFF5EEE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2D6A4F"/>
      </patternFill>
    </fill>
  </fills>
  <borders count="8">
    <border>
      <left/>
      <right/>
      <top/>
      <bottom/>
      <diagonal/>
    </border>
    <border>
      <left/>
      <right/>
      <top/>
      <bottom style="thin">
        <color rgb="FFD5DBE0"/>
      </bottom>
      <diagonal/>
    </border>
    <border>
      <left style="thin">
        <color rgb="FFD5DBE0"/>
      </left>
      <right style="thin">
        <color rgb="FFD5DBE0"/>
      </right>
      <top style="thin">
        <color rgb="FFD5DBE0"/>
      </top>
      <bottom style="thin">
        <color rgb="FFD5DBE0"/>
      </bottom>
      <diagonal/>
    </border>
    <border>
      <left style="thin">
        <color rgb="FFD5DBE0"/>
      </left>
      <right style="thin">
        <color rgb="FFD5DBE0"/>
      </right>
      <top/>
      <bottom/>
      <diagonal/>
    </border>
    <border>
      <left style="thin">
        <color rgb="FFD5DBE0"/>
      </left>
      <right style="thin">
        <color rgb="FFD5DBE0"/>
      </right>
      <top/>
      <bottom style="thin">
        <color rgb="FFD5DBE0"/>
      </bottom>
      <diagonal/>
    </border>
    <border>
      <left style="thin">
        <color rgb="FFD5DBE0"/>
      </left>
      <right style="thin">
        <color rgb="FFD5DBE0"/>
      </right>
      <top style="thin">
        <color rgb="FFD5DBE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2" borderId="0" xfId="0" applyFill="1"/>
    <xf numFmtId="0" fontId="0" fillId="3" borderId="0" xfId="0" applyFill="1"/>
    <xf numFmtId="0" fontId="12" fillId="0" borderId="1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164" fontId="24" fillId="3" borderId="2" xfId="0" applyNumberFormat="1" applyFont="1" applyFill="1" applyBorder="1" applyAlignment="1">
      <alignment horizontal="right" vertical="center" wrapText="1" indent="1"/>
    </xf>
    <xf numFmtId="0" fontId="23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 indent="1"/>
    </xf>
    <xf numFmtId="0" fontId="28" fillId="0" borderId="2" xfId="0" applyFont="1" applyBorder="1" applyAlignment="1">
      <alignment horizontal="left" vertical="top" wrapText="1" indent="1"/>
    </xf>
    <xf numFmtId="0" fontId="29" fillId="8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/>
    <xf numFmtId="0" fontId="12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right" vertical="center" wrapText="1" indent="1"/>
    </xf>
    <xf numFmtId="166" fontId="30" fillId="0" borderId="2" xfId="0" applyNumberFormat="1" applyFont="1" applyBorder="1" applyAlignment="1">
      <alignment horizontal="right" vertical="center" wrapText="1" indent="1"/>
    </xf>
    <xf numFmtId="0" fontId="14" fillId="0" borderId="2" xfId="0" applyFont="1" applyBorder="1" applyAlignment="1">
      <alignment horizontal="left" vertical="top" wrapText="1" indent="1"/>
    </xf>
    <xf numFmtId="0" fontId="20" fillId="4" borderId="2" xfId="0" applyFont="1" applyFill="1" applyBorder="1" applyAlignment="1">
      <alignment horizontal="left" vertical="center" wrapText="1" indent="1"/>
    </xf>
    <xf numFmtId="0" fontId="3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32" fillId="4" borderId="2" xfId="0" applyNumberFormat="1" applyFont="1" applyFill="1" applyBorder="1" applyAlignment="1">
      <alignment horizontal="right" vertical="center" wrapText="1" indent="1"/>
    </xf>
    <xf numFmtId="166" fontId="12" fillId="4" borderId="2" xfId="0" applyNumberFormat="1" applyFont="1" applyFill="1" applyBorder="1" applyAlignment="1">
      <alignment horizontal="right" vertical="center" wrapText="1" indent="1"/>
    </xf>
    <xf numFmtId="0" fontId="0" fillId="4" borderId="2" xfId="0" applyFill="1" applyBorder="1"/>
    <xf numFmtId="164" fontId="33" fillId="6" borderId="2" xfId="0" applyNumberFormat="1" applyFont="1" applyFill="1" applyBorder="1" applyAlignment="1">
      <alignment horizontal="right" vertical="center" wrapText="1" indent="1"/>
    </xf>
    <xf numFmtId="166" fontId="34" fillId="6" borderId="2" xfId="0" applyNumberFormat="1" applyFont="1" applyFill="1" applyBorder="1" applyAlignment="1">
      <alignment horizontal="right" vertical="center" wrapText="1" indent="1"/>
    </xf>
    <xf numFmtId="164" fontId="23" fillId="4" borderId="2" xfId="0" applyNumberFormat="1" applyFont="1" applyFill="1" applyBorder="1" applyAlignment="1">
      <alignment horizontal="right" vertical="center" wrapText="1" indent="1"/>
    </xf>
    <xf numFmtId="166" fontId="21" fillId="4" borderId="2" xfId="0" applyNumberFormat="1" applyFont="1" applyFill="1" applyBorder="1" applyAlignment="1">
      <alignment horizontal="right" vertical="center" wrapText="1" indent="1"/>
    </xf>
    <xf numFmtId="166" fontId="35" fillId="3" borderId="2" xfId="0" applyNumberFormat="1" applyFont="1" applyFill="1" applyBorder="1" applyAlignment="1">
      <alignment horizontal="right" vertical="center" wrapText="1" indent="1"/>
    </xf>
    <xf numFmtId="0" fontId="0" fillId="3" borderId="2" xfId="0" applyFill="1" applyBorder="1"/>
    <xf numFmtId="0" fontId="13" fillId="0" borderId="2" xfId="0" applyFont="1" applyBorder="1" applyAlignment="1">
      <alignment horizontal="left" vertical="top" wrapText="1" indent="1"/>
    </xf>
    <xf numFmtId="0" fontId="36" fillId="0" borderId="2" xfId="0" applyFont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37" fillId="4" borderId="2" xfId="0" applyFont="1" applyFill="1" applyBorder="1" applyAlignment="1">
      <alignment horizontal="right" vertical="center" wrapText="1" indent="1"/>
    </xf>
    <xf numFmtId="0" fontId="0" fillId="8" borderId="2" xfId="0" applyFill="1" applyBorder="1"/>
    <xf numFmtId="0" fontId="0" fillId="7" borderId="2" xfId="0" applyFill="1" applyBorder="1"/>
    <xf numFmtId="0" fontId="28" fillId="0" borderId="2" xfId="0" applyFont="1" applyBorder="1" applyAlignment="1">
      <alignment horizontal="left" vertical="center" wrapText="1" indent="1"/>
    </xf>
    <xf numFmtId="0" fontId="0" fillId="5" borderId="2" xfId="0" applyFill="1" applyBorder="1"/>
    <xf numFmtId="0" fontId="0" fillId="9" borderId="2" xfId="0" applyFill="1" applyBorder="1"/>
    <xf numFmtId="0" fontId="12" fillId="0" borderId="0" xfId="0" applyFont="1"/>
    <xf numFmtId="0" fontId="21" fillId="0" borderId="0" xfId="0" applyFont="1" applyAlignment="1">
      <alignment horizontal="left" vertical="center" wrapText="1"/>
    </xf>
    <xf numFmtId="0" fontId="38" fillId="0" borderId="2" xfId="0" applyFont="1" applyBorder="1" applyAlignment="1">
      <alignment horizontal="center" vertical="top" wrapText="1"/>
    </xf>
    <xf numFmtId="0" fontId="39" fillId="0" borderId="2" xfId="0" applyFont="1" applyBorder="1" applyAlignment="1">
      <alignment horizontal="center" vertical="top" wrapText="1"/>
    </xf>
    <xf numFmtId="0" fontId="9" fillId="5" borderId="2" xfId="0" applyFont="1" applyFill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wrapText="1" indent="1"/>
    </xf>
    <xf numFmtId="0" fontId="19" fillId="0" borderId="1" xfId="0" applyFont="1" applyBorder="1" applyAlignment="1">
      <alignment horizontal="left" wrapText="1" indent="1"/>
    </xf>
    <xf numFmtId="0" fontId="23" fillId="0" borderId="1" xfId="0" applyFont="1" applyBorder="1" applyAlignment="1">
      <alignment horizontal="left" wrapText="1" indent="1"/>
    </xf>
    <xf numFmtId="0" fontId="0" fillId="0" borderId="1" xfId="0" applyBorder="1"/>
    <xf numFmtId="0" fontId="20" fillId="4" borderId="5" xfId="0" applyFont="1" applyFill="1" applyBorder="1" applyAlignment="1">
      <alignment horizontal="left" vertical="top" wrapText="1" indent="1"/>
    </xf>
    <xf numFmtId="0" fontId="9" fillId="5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 indent="1"/>
    </xf>
    <xf numFmtId="0" fontId="23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6" fontId="23" fillId="0" borderId="6" xfId="0" applyNumberFormat="1" applyFont="1" applyBorder="1" applyAlignment="1">
      <alignment horizontal="right" vertical="center" wrapText="1" indent="1"/>
    </xf>
    <xf numFmtId="166" fontId="24" fillId="3" borderId="6" xfId="0" applyNumberFormat="1" applyFont="1" applyFill="1" applyBorder="1" applyAlignment="1">
      <alignment horizontal="right" vertical="center" wrapText="1" indent="1"/>
    </xf>
    <xf numFmtId="0" fontId="19" fillId="7" borderId="6" xfId="0" applyFont="1" applyFill="1" applyBorder="1" applyAlignment="1">
      <alignment horizontal="left" vertical="center" wrapText="1" indent="1"/>
    </xf>
    <xf numFmtId="0" fontId="13" fillId="7" borderId="6" xfId="0" applyFont="1" applyFill="1" applyBorder="1" applyAlignment="1">
      <alignment horizontal="left" vertical="center" wrapText="1" indent="1"/>
    </xf>
    <xf numFmtId="164" fontId="32" fillId="4" borderId="7" xfId="0" applyNumberFormat="1" applyFont="1" applyFill="1" applyBorder="1" applyAlignment="1">
      <alignment horizontal="right" vertical="center" wrapText="1" indent="1"/>
    </xf>
    <xf numFmtId="164" fontId="23" fillId="4" borderId="7" xfId="0" applyNumberFormat="1" applyFont="1" applyFill="1" applyBorder="1" applyAlignment="1">
      <alignment horizontal="right" vertical="center" wrapText="1" indent="1"/>
    </xf>
    <xf numFmtId="164" fontId="24" fillId="3" borderId="7" xfId="0" applyNumberFormat="1" applyFont="1" applyFill="1" applyBorder="1" applyAlignment="1">
      <alignment horizontal="right" vertical="center" wrapText="1" inden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9" fillId="5" borderId="0" xfId="0" applyFont="1" applyFill="1" applyAlignment="1">
      <alignment horizontal="center" vertical="center" wrapText="1"/>
    </xf>
    <xf numFmtId="164" fontId="10" fillId="6" borderId="0" xfId="0" applyNumberFormat="1" applyFont="1" applyFill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165" fontId="11" fillId="6" borderId="0" xfId="0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 indent="1"/>
    </xf>
    <xf numFmtId="0" fontId="0" fillId="0" borderId="6" xfId="0" applyBorder="1"/>
    <xf numFmtId="0" fontId="9" fillId="3" borderId="0" xfId="0" applyFont="1" applyFill="1" applyAlignment="1">
      <alignment horizontal="left" vertical="center" wrapText="1"/>
    </xf>
    <xf numFmtId="0" fontId="13" fillId="7" borderId="6" xfId="0" applyFont="1" applyFill="1" applyBorder="1" applyAlignment="1">
      <alignment horizontal="left" vertical="center" wrapText="1" indent="1"/>
    </xf>
    <xf numFmtId="164" fontId="24" fillId="3" borderId="6" xfId="0" applyNumberFormat="1" applyFont="1" applyFill="1" applyBorder="1" applyAlignment="1">
      <alignment horizontal="right" vertical="center" wrapText="1" indent="1"/>
    </xf>
    <xf numFmtId="0" fontId="21" fillId="0" borderId="6" xfId="0" applyFont="1" applyBorder="1" applyAlignment="1">
      <alignment horizontal="left" vertical="center" wrapText="1" indent="1"/>
    </xf>
    <xf numFmtId="0" fontId="18" fillId="0" borderId="6" xfId="0" applyFont="1" applyBorder="1" applyAlignment="1">
      <alignment horizontal="left" vertical="center" wrapText="1" indent="1"/>
    </xf>
    <xf numFmtId="164" fontId="22" fillId="0" borderId="6" xfId="0" applyNumberFormat="1" applyFont="1" applyBorder="1" applyAlignment="1">
      <alignment horizontal="right" vertical="center" wrapText="1" indent="1"/>
    </xf>
    <xf numFmtId="0" fontId="18" fillId="4" borderId="0" xfId="0" applyFont="1" applyFill="1" applyAlignment="1">
      <alignment horizontal="left" vertical="top" wrapText="1" indent="1"/>
    </xf>
    <xf numFmtId="0" fontId="17" fillId="5" borderId="0" xfId="0" applyFont="1" applyFill="1" applyAlignment="1">
      <alignment horizontal="left" vertical="center" wrapText="1" indent="1"/>
    </xf>
    <xf numFmtId="0" fontId="6" fillId="2" borderId="6" xfId="0" applyFont="1" applyFill="1" applyBorder="1" applyAlignment="1">
      <alignment horizontal="right" vertical="center" wrapText="1" indent="1"/>
    </xf>
    <xf numFmtId="0" fontId="9" fillId="5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6" fillId="4" borderId="0" xfId="0" applyFont="1" applyFill="1" applyAlignment="1">
      <alignment horizontal="left" vertical="center" wrapText="1"/>
    </xf>
    <xf numFmtId="0" fontId="0" fillId="3" borderId="0" xfId="0" applyFill="1"/>
    <xf numFmtId="0" fontId="9" fillId="8" borderId="2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top" wrapText="1" indent="1"/>
    </xf>
    <xf numFmtId="0" fontId="0" fillId="0" borderId="3" xfId="0" applyBorder="1"/>
    <xf numFmtId="0" fontId="0" fillId="0" borderId="4" xfId="0" applyBorder="1"/>
    <xf numFmtId="0" fontId="12" fillId="6" borderId="2" xfId="0" applyFont="1" applyFill="1" applyBorder="1" applyAlignment="1">
      <alignment horizontal="right" vertical="center" wrapText="1" indent="1"/>
    </xf>
    <xf numFmtId="0" fontId="32" fillId="4" borderId="2" xfId="0" applyFont="1" applyFill="1" applyBorder="1" applyAlignment="1">
      <alignment horizontal="right" vertical="center" wrapText="1" indent="1"/>
    </xf>
    <xf numFmtId="0" fontId="0" fillId="6" borderId="2" xfId="0" applyFill="1" applyBorder="1"/>
    <xf numFmtId="0" fontId="0" fillId="4" borderId="2" xfId="0" applyFill="1" applyBorder="1"/>
    <xf numFmtId="0" fontId="11" fillId="6" borderId="0" xfId="0" applyFont="1" applyFill="1" applyAlignment="1">
      <alignment horizontal="left" vertical="center" wrapText="1"/>
    </xf>
    <xf numFmtId="0" fontId="12" fillId="4" borderId="2" xfId="0" applyFont="1" applyFill="1" applyBorder="1" applyAlignment="1">
      <alignment horizontal="right" vertical="center" wrapText="1" indent="1"/>
    </xf>
    <xf numFmtId="0" fontId="14" fillId="0" borderId="0" xfId="0" applyFont="1" applyAlignment="1">
      <alignment horizontal="left" vertical="top" wrapText="1"/>
    </xf>
    <xf numFmtId="0" fontId="0" fillId="3" borderId="2" xfId="0" applyFill="1" applyBorder="1"/>
    <xf numFmtId="0" fontId="17" fillId="2" borderId="2" xfId="0" applyFont="1" applyFill="1" applyBorder="1" applyAlignment="1">
      <alignment horizontal="right" vertical="center" wrapText="1" indent="1"/>
    </xf>
    <xf numFmtId="0" fontId="12" fillId="4" borderId="7" xfId="0" applyFont="1" applyFill="1" applyBorder="1" applyAlignment="1">
      <alignment horizontal="right" vertical="center" wrapText="1" indent="1"/>
    </xf>
    <xf numFmtId="0" fontId="0" fillId="0" borderId="7" xfId="0" applyBorder="1"/>
    <xf numFmtId="0" fontId="17" fillId="2" borderId="7" xfId="0" applyFont="1" applyFill="1" applyBorder="1" applyAlignment="1">
      <alignment horizontal="right" vertical="center" wrapText="1" indent="1"/>
    </xf>
    <xf numFmtId="0" fontId="0" fillId="4" borderId="7" xfId="0" applyFill="1" applyBorder="1"/>
    <xf numFmtId="0" fontId="0" fillId="3" borderId="7" xfId="0" applyFill="1" applyBorder="1"/>
    <xf numFmtId="0" fontId="32" fillId="4" borderId="7" xfId="0" applyFont="1" applyFill="1" applyBorder="1" applyAlignment="1">
      <alignment horizontal="right" vertical="center" wrapText="1" indent="1"/>
    </xf>
    <xf numFmtId="0" fontId="29" fillId="8" borderId="2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F3D"/>
  </sheetPr>
  <dimension ref="A1:K44"/>
  <sheetViews>
    <sheetView showGridLines="0" tabSelected="1" workbookViewId="0">
      <selection activeCell="D28" sqref="D28:J28"/>
    </sheetView>
  </sheetViews>
  <sheetFormatPr baseColWidth="10" defaultColWidth="8.83203125" defaultRowHeight="15" x14ac:dyDescent="0.2"/>
  <cols>
    <col min="1" max="1" width="2" customWidth="1"/>
    <col min="2" max="10" width="14" customWidth="1"/>
    <col min="11" max="11" width="2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customHeight="1" x14ac:dyDescent="0.2">
      <c r="A2" s="1"/>
      <c r="B2" s="63" t="s">
        <v>634</v>
      </c>
      <c r="C2" s="64"/>
      <c r="D2" s="64"/>
      <c r="E2" s="64"/>
      <c r="F2" s="64"/>
      <c r="G2" s="64"/>
      <c r="H2" s="64"/>
      <c r="I2" s="64"/>
      <c r="J2" s="64"/>
      <c r="K2" s="1"/>
    </row>
    <row r="3" spans="1:11" ht="18" customHeight="1" x14ac:dyDescent="0.2">
      <c r="A3" s="1"/>
      <c r="B3" s="68" t="s">
        <v>0</v>
      </c>
      <c r="C3" s="64"/>
      <c r="D3" s="64"/>
      <c r="E3" s="64"/>
      <c r="F3" s="64"/>
      <c r="G3" s="64"/>
      <c r="H3" s="64"/>
      <c r="I3" s="64"/>
      <c r="J3" s="64"/>
      <c r="K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2" customHeight="1" x14ac:dyDescent="0.2">
      <c r="A7" s="1"/>
      <c r="B7" s="65" t="s">
        <v>636</v>
      </c>
      <c r="C7" s="64"/>
      <c r="D7" s="64"/>
      <c r="E7" s="64"/>
      <c r="F7" s="64"/>
      <c r="G7" s="64"/>
      <c r="H7" s="64"/>
      <c r="I7" s="64"/>
      <c r="J7" s="64"/>
      <c r="K7" s="1"/>
    </row>
    <row r="8" spans="1:11" ht="36" customHeight="1" x14ac:dyDescent="0.2">
      <c r="A8" s="1"/>
      <c r="B8" s="76" t="s">
        <v>635</v>
      </c>
      <c r="C8" s="64"/>
      <c r="D8" s="64"/>
      <c r="E8" s="64"/>
      <c r="F8" s="64"/>
      <c r="G8" s="64"/>
      <c r="H8" s="64"/>
      <c r="I8" s="64"/>
      <c r="J8" s="64"/>
      <c r="K8" s="1"/>
    </row>
    <row r="9" spans="1:11" ht="36" customHeight="1" x14ac:dyDescent="0.2">
      <c r="A9" s="1"/>
      <c r="B9" s="64"/>
      <c r="C9" s="64"/>
      <c r="D9" s="64"/>
      <c r="E9" s="64"/>
      <c r="F9" s="64"/>
      <c r="G9" s="64"/>
      <c r="H9" s="64"/>
      <c r="I9" s="64"/>
      <c r="J9" s="64"/>
      <c r="K9" s="1"/>
    </row>
    <row r="10" spans="1:11" ht="14" customHeight="1" x14ac:dyDescent="0.2">
      <c r="A10" s="1"/>
      <c r="B10" s="64"/>
      <c r="C10" s="64"/>
      <c r="D10" s="64"/>
      <c r="E10" s="64"/>
      <c r="F10" s="64"/>
      <c r="G10" s="64"/>
      <c r="H10" s="64"/>
      <c r="I10" s="64"/>
      <c r="J10" s="64"/>
      <c r="K10" s="1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2" customHeight="1" x14ac:dyDescent="0.2">
      <c r="A12" s="1"/>
      <c r="B12" s="73" t="s">
        <v>1</v>
      </c>
      <c r="C12" s="64"/>
      <c r="D12" s="64"/>
      <c r="E12" s="64"/>
      <c r="F12" s="64"/>
      <c r="G12" s="64"/>
      <c r="H12" s="64"/>
      <c r="I12" s="64"/>
      <c r="J12" s="64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78" t="s">
        <v>2</v>
      </c>
      <c r="C15" s="64"/>
      <c r="D15" s="64"/>
      <c r="E15" s="64"/>
      <c r="F15" s="79" t="s">
        <v>3</v>
      </c>
      <c r="G15" s="64"/>
      <c r="H15" s="64"/>
      <c r="I15" s="64"/>
      <c r="J15" s="64"/>
      <c r="K15" s="1"/>
    </row>
    <row r="16" spans="1:11" x14ac:dyDescent="0.2">
      <c r="A16" s="1"/>
      <c r="B16" s="64"/>
      <c r="C16" s="64"/>
      <c r="D16" s="64"/>
      <c r="E16" s="64"/>
      <c r="F16" s="64"/>
      <c r="G16" s="64"/>
      <c r="H16" s="64"/>
      <c r="I16" s="64"/>
      <c r="J16" s="64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1:11" ht="22" customHeight="1" x14ac:dyDescent="0.2">
      <c r="B20" s="77" t="s">
        <v>4</v>
      </c>
      <c r="C20" s="64"/>
      <c r="D20" s="64"/>
      <c r="E20" s="64"/>
      <c r="F20" s="64"/>
      <c r="G20" s="64"/>
      <c r="H20" s="64"/>
      <c r="I20" s="64"/>
      <c r="J20" s="64"/>
    </row>
    <row r="21" spans="1:11" ht="6" customHeight="1" x14ac:dyDescent="0.2">
      <c r="B21" s="64"/>
      <c r="C21" s="64"/>
      <c r="D21" s="64"/>
      <c r="E21" s="64"/>
      <c r="F21" s="64"/>
      <c r="G21" s="64"/>
      <c r="H21" s="64"/>
      <c r="I21" s="64"/>
      <c r="J21" s="64"/>
    </row>
    <row r="22" spans="1:11" ht="22" customHeight="1" x14ac:dyDescent="0.2">
      <c r="B22" s="69" t="s">
        <v>5</v>
      </c>
      <c r="C22" s="64"/>
      <c r="D22" s="64"/>
      <c r="E22" s="69" t="s">
        <v>6</v>
      </c>
      <c r="F22" s="64"/>
      <c r="G22" s="64"/>
      <c r="H22" s="69" t="s">
        <v>7</v>
      </c>
      <c r="I22" s="64"/>
      <c r="J22" s="64"/>
    </row>
    <row r="23" spans="1:11" ht="42" customHeight="1" x14ac:dyDescent="0.2">
      <c r="B23" s="70">
        <f>'4. Pricing — Build'!$I$67</f>
        <v>841891050</v>
      </c>
      <c r="C23" s="64"/>
      <c r="D23" s="64"/>
      <c r="E23" s="70">
        <f>'5. Pricing — Hosting'!$D$17</f>
        <v>66000000</v>
      </c>
      <c r="F23" s="64"/>
      <c r="G23" s="64"/>
      <c r="H23" s="70">
        <f>'4. Pricing — Build'!$I$67+'5. Pricing — Hosting'!$D$17</f>
        <v>907891050</v>
      </c>
      <c r="I23" s="64"/>
      <c r="J23" s="64"/>
    </row>
    <row r="24" spans="1:11" ht="22" customHeight="1" x14ac:dyDescent="0.2">
      <c r="B24" s="74">
        <f>'4. Pricing — Build'!$J$67</f>
        <v>32380.424999999999</v>
      </c>
      <c r="C24" s="64"/>
      <c r="D24" s="64"/>
      <c r="E24" s="66" t="s">
        <v>8</v>
      </c>
      <c r="F24" s="64"/>
      <c r="G24" s="64"/>
      <c r="H24" s="74">
        <f>('4. Pricing — Build'!$I$67+'5. Pricing — Hosting'!$D$17)/26000</f>
        <v>34918.886538461542</v>
      </c>
      <c r="I24" s="64"/>
      <c r="J24" s="64"/>
    </row>
    <row r="27" spans="1:11" ht="22" customHeight="1" x14ac:dyDescent="0.2">
      <c r="B27" s="72" t="s">
        <v>9</v>
      </c>
      <c r="C27" s="64"/>
      <c r="D27" s="64"/>
      <c r="E27" s="64"/>
      <c r="F27" s="64"/>
      <c r="G27" s="64"/>
      <c r="H27" s="64"/>
      <c r="I27" s="64"/>
      <c r="J27" s="64"/>
    </row>
    <row r="28" spans="1:11" ht="22" customHeight="1" x14ac:dyDescent="0.2">
      <c r="B28" s="3" t="s">
        <v>10</v>
      </c>
      <c r="D28" s="67" t="s">
        <v>11</v>
      </c>
      <c r="E28" s="64"/>
      <c r="F28" s="64"/>
      <c r="G28" s="64"/>
      <c r="H28" s="64"/>
      <c r="I28" s="64"/>
      <c r="J28" s="64"/>
    </row>
    <row r="29" spans="1:11" ht="22" customHeight="1" x14ac:dyDescent="0.2">
      <c r="B29" s="3" t="s">
        <v>12</v>
      </c>
      <c r="D29" s="67" t="s">
        <v>13</v>
      </c>
      <c r="E29" s="64"/>
      <c r="F29" s="64"/>
      <c r="G29" s="64"/>
      <c r="H29" s="64"/>
      <c r="I29" s="64"/>
      <c r="J29" s="64"/>
    </row>
    <row r="30" spans="1:11" ht="22" customHeight="1" x14ac:dyDescent="0.2">
      <c r="B30" s="3" t="s">
        <v>14</v>
      </c>
      <c r="D30" s="67" t="s">
        <v>15</v>
      </c>
      <c r="E30" s="64"/>
      <c r="F30" s="64"/>
      <c r="G30" s="64"/>
      <c r="H30" s="64"/>
      <c r="I30" s="64"/>
      <c r="J30" s="64"/>
    </row>
    <row r="31" spans="1:11" ht="22" customHeight="1" x14ac:dyDescent="0.2">
      <c r="B31" s="3" t="s">
        <v>16</v>
      </c>
      <c r="D31" s="67" t="s">
        <v>17</v>
      </c>
      <c r="E31" s="64"/>
      <c r="F31" s="64"/>
      <c r="G31" s="64"/>
      <c r="H31" s="64"/>
      <c r="I31" s="64"/>
      <c r="J31" s="64"/>
    </row>
    <row r="32" spans="1:11" ht="22" customHeight="1" x14ac:dyDescent="0.2">
      <c r="B32" s="3" t="s">
        <v>18</v>
      </c>
      <c r="D32" s="67" t="s">
        <v>19</v>
      </c>
      <c r="E32" s="64"/>
      <c r="F32" s="64"/>
      <c r="G32" s="64"/>
      <c r="H32" s="64"/>
      <c r="I32" s="64"/>
      <c r="J32" s="64"/>
    </row>
    <row r="33" spans="2:10" ht="22" customHeight="1" x14ac:dyDescent="0.2">
      <c r="B33" s="3" t="s">
        <v>20</v>
      </c>
      <c r="D33" s="67" t="s">
        <v>21</v>
      </c>
      <c r="E33" s="64"/>
      <c r="F33" s="64"/>
      <c r="G33" s="64"/>
      <c r="H33" s="64"/>
      <c r="I33" s="64"/>
      <c r="J33" s="64"/>
    </row>
    <row r="34" spans="2:10" ht="22" customHeight="1" x14ac:dyDescent="0.2">
      <c r="B34" s="3" t="s">
        <v>22</v>
      </c>
      <c r="D34" s="67" t="s">
        <v>23</v>
      </c>
      <c r="E34" s="64"/>
      <c r="F34" s="64"/>
      <c r="G34" s="64"/>
      <c r="H34" s="64"/>
      <c r="I34" s="64"/>
      <c r="J34" s="64"/>
    </row>
    <row r="37" spans="2:10" ht="22" customHeight="1" x14ac:dyDescent="0.2">
      <c r="B37" s="72" t="s">
        <v>24</v>
      </c>
      <c r="C37" s="64"/>
      <c r="D37" s="64"/>
      <c r="E37" s="64"/>
      <c r="F37" s="64"/>
      <c r="G37" s="64"/>
      <c r="H37" s="64"/>
      <c r="I37" s="64"/>
      <c r="J37" s="64"/>
    </row>
    <row r="38" spans="2:10" ht="24" customHeight="1" x14ac:dyDescent="0.2">
      <c r="B38" s="3" t="s">
        <v>25</v>
      </c>
      <c r="D38" s="67" t="s">
        <v>26</v>
      </c>
      <c r="E38" s="64"/>
      <c r="F38" s="64"/>
      <c r="G38" s="64"/>
      <c r="H38" s="71"/>
      <c r="I38" s="64"/>
      <c r="J38" s="64"/>
    </row>
    <row r="39" spans="2:10" ht="24" customHeight="1" x14ac:dyDescent="0.2">
      <c r="B39" s="3" t="s">
        <v>27</v>
      </c>
      <c r="D39" s="67" t="s">
        <v>28</v>
      </c>
      <c r="E39" s="64"/>
      <c r="F39" s="64"/>
      <c r="G39" s="64"/>
      <c r="H39" s="71" t="s">
        <v>637</v>
      </c>
      <c r="I39" s="64"/>
      <c r="J39" s="64"/>
    </row>
    <row r="40" spans="2:10" ht="24" customHeight="1" x14ac:dyDescent="0.2">
      <c r="B40" s="3" t="s">
        <v>30</v>
      </c>
      <c r="D40" s="67" t="s">
        <v>31</v>
      </c>
      <c r="E40" s="64"/>
      <c r="F40" s="64"/>
      <c r="G40" s="64"/>
      <c r="H40" s="71" t="s">
        <v>32</v>
      </c>
      <c r="I40" s="64"/>
      <c r="J40" s="64"/>
    </row>
    <row r="44" spans="2:10" x14ac:dyDescent="0.2">
      <c r="B44" s="75" t="s">
        <v>33</v>
      </c>
      <c r="C44" s="64"/>
      <c r="D44" s="64"/>
      <c r="E44" s="64"/>
      <c r="F44" s="64"/>
      <c r="G44" s="64"/>
      <c r="H44" s="64"/>
      <c r="I44" s="64"/>
      <c r="J44" s="64"/>
    </row>
  </sheetData>
  <mergeCells count="33">
    <mergeCell ref="B44:J44"/>
    <mergeCell ref="H23:J23"/>
    <mergeCell ref="H38:J38"/>
    <mergeCell ref="B8:J10"/>
    <mergeCell ref="D28:J28"/>
    <mergeCell ref="B20:J21"/>
    <mergeCell ref="B23:D23"/>
    <mergeCell ref="D39:G39"/>
    <mergeCell ref="D30:J30"/>
    <mergeCell ref="D33:J33"/>
    <mergeCell ref="D29:J29"/>
    <mergeCell ref="D38:G38"/>
    <mergeCell ref="B37:J37"/>
    <mergeCell ref="H22:J22"/>
    <mergeCell ref="D34:J34"/>
    <mergeCell ref="B24:D24"/>
    <mergeCell ref="D40:G40"/>
    <mergeCell ref="B22:D22"/>
    <mergeCell ref="E23:G23"/>
    <mergeCell ref="H40:J40"/>
    <mergeCell ref="B27:J27"/>
    <mergeCell ref="H39:J39"/>
    <mergeCell ref="H24:J24"/>
    <mergeCell ref="E22:G22"/>
    <mergeCell ref="D31:J31"/>
    <mergeCell ref="B2:J2"/>
    <mergeCell ref="B7:J7"/>
    <mergeCell ref="E24:G24"/>
    <mergeCell ref="D32:J32"/>
    <mergeCell ref="B3:J3"/>
    <mergeCell ref="B12:J12"/>
    <mergeCell ref="B15:E16"/>
    <mergeCell ref="F15:J16"/>
  </mergeCells>
  <printOptions horizontalCentered="1"/>
  <pageMargins left="0.4" right="0.4" top="0.4" bottom="0.4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</sheetPr>
  <dimension ref="B1:J35"/>
  <sheetViews>
    <sheetView showGridLines="0" workbookViewId="0">
      <selection activeCell="C29" sqref="C29:E29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9" width="22" customWidth="1"/>
    <col min="10" max="10" width="18" customWidth="1"/>
    <col min="11" max="11" width="2" customWidth="1"/>
  </cols>
  <sheetData>
    <row r="1" spans="2:10" ht="24" customHeight="1" x14ac:dyDescent="0.2">
      <c r="B1" s="92" t="s">
        <v>34</v>
      </c>
      <c r="C1" s="64"/>
      <c r="D1" s="64"/>
      <c r="E1" s="64"/>
      <c r="F1" s="64"/>
      <c r="G1" s="64"/>
      <c r="H1" s="64"/>
      <c r="I1" s="64"/>
      <c r="J1" s="64"/>
    </row>
    <row r="2" spans="2:10" ht="4" customHeight="1" x14ac:dyDescent="0.2">
      <c r="B2" s="95"/>
      <c r="C2" s="64"/>
      <c r="D2" s="64"/>
      <c r="E2" s="64"/>
      <c r="F2" s="64"/>
      <c r="G2" s="64"/>
      <c r="H2" s="64"/>
      <c r="I2" s="64"/>
      <c r="J2" s="64"/>
    </row>
    <row r="3" spans="2:10" ht="32" customHeight="1" x14ac:dyDescent="0.2">
      <c r="B3" s="94" t="s">
        <v>35</v>
      </c>
      <c r="C3" s="64"/>
      <c r="D3" s="64"/>
      <c r="E3" s="64"/>
      <c r="F3" s="64"/>
      <c r="G3" s="64"/>
      <c r="H3" s="64"/>
      <c r="I3" s="64"/>
      <c r="J3" s="64"/>
    </row>
    <row r="5" spans="2:10" ht="28" customHeight="1" x14ac:dyDescent="0.2">
      <c r="B5" s="89" t="s">
        <v>36</v>
      </c>
      <c r="C5" s="64"/>
      <c r="D5" s="64"/>
      <c r="E5" s="64"/>
      <c r="F5" s="64"/>
      <c r="G5" s="64"/>
      <c r="H5" s="64"/>
      <c r="I5" s="64"/>
      <c r="J5" s="64"/>
    </row>
    <row r="6" spans="2:10" ht="60" customHeight="1" x14ac:dyDescent="0.2">
      <c r="B6" s="93" t="s">
        <v>37</v>
      </c>
      <c r="C6" s="64"/>
      <c r="D6" s="64"/>
      <c r="E6" s="64"/>
      <c r="F6" s="64"/>
      <c r="G6" s="64"/>
      <c r="H6" s="64"/>
      <c r="I6" s="64"/>
      <c r="J6" s="64"/>
    </row>
    <row r="8" spans="2:10" ht="28" customHeight="1" x14ac:dyDescent="0.2">
      <c r="B8" s="89" t="s">
        <v>38</v>
      </c>
      <c r="C8" s="64"/>
      <c r="D8" s="64"/>
      <c r="E8" s="64"/>
      <c r="F8" s="64"/>
      <c r="G8" s="64"/>
      <c r="H8" s="64"/>
      <c r="I8" s="64"/>
      <c r="J8" s="64"/>
    </row>
    <row r="9" spans="2:10" ht="22" customHeight="1" x14ac:dyDescent="0.2">
      <c r="B9" s="82" t="s">
        <v>39</v>
      </c>
      <c r="C9" s="64"/>
      <c r="E9" s="82" t="s">
        <v>40</v>
      </c>
      <c r="F9" s="64"/>
      <c r="H9" s="82" t="s">
        <v>41</v>
      </c>
      <c r="I9" s="64"/>
      <c r="J9" s="64"/>
    </row>
    <row r="10" spans="2:10" ht="56" customHeight="1" x14ac:dyDescent="0.2">
      <c r="B10" s="88" t="s">
        <v>42</v>
      </c>
      <c r="C10" s="64"/>
      <c r="E10" s="88" t="s">
        <v>43</v>
      </c>
      <c r="F10" s="64"/>
      <c r="H10" s="88" t="s">
        <v>44</v>
      </c>
      <c r="I10" s="64"/>
      <c r="J10" s="64"/>
    </row>
    <row r="12" spans="2:10" ht="22" customHeight="1" x14ac:dyDescent="0.2">
      <c r="B12" s="82" t="s">
        <v>45</v>
      </c>
      <c r="C12" s="64"/>
      <c r="E12" s="82" t="s">
        <v>46</v>
      </c>
      <c r="F12" s="64"/>
    </row>
    <row r="13" spans="2:10" ht="56" customHeight="1" x14ac:dyDescent="0.2">
      <c r="B13" s="88" t="s">
        <v>47</v>
      </c>
      <c r="C13" s="64"/>
      <c r="E13" s="88" t="s">
        <v>48</v>
      </c>
      <c r="F13" s="64"/>
    </row>
    <row r="16" spans="2:10" ht="28" customHeight="1" x14ac:dyDescent="0.2">
      <c r="B16" s="89" t="s">
        <v>49</v>
      </c>
      <c r="C16" s="64"/>
      <c r="D16" s="64"/>
      <c r="E16" s="64"/>
      <c r="F16" s="64"/>
      <c r="G16" s="64"/>
      <c r="H16" s="64"/>
      <c r="I16" s="64"/>
      <c r="J16" s="64"/>
    </row>
    <row r="17" spans="2:10" ht="22" customHeight="1" x14ac:dyDescent="0.2">
      <c r="B17" s="51" t="s">
        <v>50</v>
      </c>
      <c r="C17" s="51" t="s">
        <v>51</v>
      </c>
      <c r="D17" s="91" t="s">
        <v>52</v>
      </c>
      <c r="E17" s="81"/>
      <c r="F17" s="91" t="s">
        <v>53</v>
      </c>
      <c r="G17" s="81"/>
      <c r="H17" s="91" t="s">
        <v>54</v>
      </c>
      <c r="I17" s="81"/>
      <c r="J17" s="81"/>
    </row>
    <row r="18" spans="2:10" ht="38" customHeight="1" x14ac:dyDescent="0.2">
      <c r="B18" s="58" t="s">
        <v>55</v>
      </c>
      <c r="C18" s="59" t="s">
        <v>56</v>
      </c>
      <c r="D18" s="83" t="s">
        <v>57</v>
      </c>
      <c r="E18" s="81"/>
      <c r="F18" s="83" t="s">
        <v>58</v>
      </c>
      <c r="G18" s="81"/>
      <c r="H18" s="83" t="s">
        <v>59</v>
      </c>
      <c r="I18" s="81"/>
      <c r="J18" s="81"/>
    </row>
    <row r="19" spans="2:10" ht="38" customHeight="1" x14ac:dyDescent="0.2">
      <c r="B19" s="58" t="s">
        <v>60</v>
      </c>
      <c r="C19" s="59" t="s">
        <v>61</v>
      </c>
      <c r="D19" s="83" t="s">
        <v>62</v>
      </c>
      <c r="E19" s="81"/>
      <c r="F19" s="83" t="s">
        <v>63</v>
      </c>
      <c r="G19" s="81"/>
      <c r="H19" s="83" t="s">
        <v>64</v>
      </c>
      <c r="I19" s="81"/>
      <c r="J19" s="81"/>
    </row>
    <row r="20" spans="2:10" ht="38" customHeight="1" x14ac:dyDescent="0.2">
      <c r="B20" s="58" t="s">
        <v>65</v>
      </c>
      <c r="C20" s="59" t="s">
        <v>66</v>
      </c>
      <c r="D20" s="83" t="s">
        <v>67</v>
      </c>
      <c r="E20" s="81"/>
      <c r="F20" s="83" t="s">
        <v>68</v>
      </c>
      <c r="G20" s="81"/>
      <c r="H20" s="83" t="s">
        <v>69</v>
      </c>
      <c r="I20" s="81"/>
      <c r="J20" s="81"/>
    </row>
    <row r="22" spans="2:10" ht="28" customHeight="1" x14ac:dyDescent="0.2">
      <c r="B22" s="89" t="s">
        <v>70</v>
      </c>
      <c r="C22" s="64"/>
      <c r="D22" s="64"/>
      <c r="E22" s="64"/>
      <c r="F22" s="64"/>
      <c r="G22" s="64"/>
      <c r="H22" s="64"/>
      <c r="I22" s="64"/>
      <c r="J22" s="64"/>
    </row>
    <row r="23" spans="2:10" ht="22" customHeight="1" x14ac:dyDescent="0.2">
      <c r="B23" s="51" t="s">
        <v>71</v>
      </c>
      <c r="C23" s="51" t="s">
        <v>72</v>
      </c>
      <c r="D23" s="91" t="s">
        <v>73</v>
      </c>
      <c r="E23" s="81"/>
      <c r="F23" s="81"/>
      <c r="G23" s="81"/>
      <c r="H23" s="91" t="s">
        <v>74</v>
      </c>
      <c r="I23" s="81"/>
      <c r="J23" s="51" t="s">
        <v>75</v>
      </c>
    </row>
    <row r="24" spans="2:10" ht="40" customHeight="1" x14ac:dyDescent="0.2">
      <c r="B24" s="55" t="s">
        <v>76</v>
      </c>
      <c r="C24" s="53" t="s">
        <v>77</v>
      </c>
      <c r="D24" s="85" t="s">
        <v>78</v>
      </c>
      <c r="E24" s="81"/>
      <c r="F24" s="81"/>
      <c r="G24" s="81"/>
      <c r="H24" s="87">
        <f>'4. Pricing — Build'!$I$67</f>
        <v>841891050</v>
      </c>
      <c r="I24" s="81"/>
      <c r="J24" s="56">
        <f>'4. Pricing — Build'!$J$67</f>
        <v>32380.424999999999</v>
      </c>
    </row>
    <row r="25" spans="2:10" ht="40" customHeight="1" x14ac:dyDescent="0.2">
      <c r="B25" s="55" t="s">
        <v>79</v>
      </c>
      <c r="C25" s="53" t="s">
        <v>80</v>
      </c>
      <c r="D25" s="85" t="s">
        <v>81</v>
      </c>
      <c r="E25" s="81"/>
      <c r="F25" s="81"/>
      <c r="G25" s="81"/>
      <c r="H25" s="87">
        <f>'5. Pricing — Hosting'!$D$17</f>
        <v>66000000</v>
      </c>
      <c r="I25" s="81"/>
      <c r="J25" s="56" t="s">
        <v>29</v>
      </c>
    </row>
    <row r="26" spans="2:10" ht="28" customHeight="1" x14ac:dyDescent="0.2">
      <c r="B26" s="90" t="s">
        <v>82</v>
      </c>
      <c r="C26" s="81"/>
      <c r="D26" s="81"/>
      <c r="E26" s="81"/>
      <c r="F26" s="81"/>
      <c r="G26" s="81"/>
      <c r="H26" s="84">
        <f>'4. Pricing — Build'!$I$67+'5. Pricing — Hosting'!$D$17</f>
        <v>907891050</v>
      </c>
      <c r="I26" s="81"/>
      <c r="J26" s="57">
        <f>('4. Pricing — Build'!$I$67+'5. Pricing — Hosting'!$D$17)/26000</f>
        <v>34918.886538461542</v>
      </c>
    </row>
    <row r="28" spans="2:10" ht="28" customHeight="1" x14ac:dyDescent="0.2">
      <c r="B28" s="89" t="s">
        <v>83</v>
      </c>
      <c r="C28" s="64"/>
      <c r="D28" s="64"/>
      <c r="E28" s="64"/>
      <c r="F28" s="64"/>
      <c r="G28" s="64"/>
      <c r="H28" s="64"/>
      <c r="I28" s="64"/>
      <c r="J28" s="64"/>
    </row>
    <row r="29" spans="2:10" ht="22" customHeight="1" x14ac:dyDescent="0.2">
      <c r="B29" s="51" t="s">
        <v>84</v>
      </c>
      <c r="C29" s="91" t="s">
        <v>72</v>
      </c>
      <c r="D29" s="81"/>
      <c r="E29" s="81"/>
      <c r="F29" s="51" t="s">
        <v>85</v>
      </c>
      <c r="G29" s="91" t="s">
        <v>86</v>
      </c>
      <c r="H29" s="81"/>
      <c r="I29" s="81"/>
      <c r="J29" s="81"/>
    </row>
    <row r="30" spans="2:10" ht="26" customHeight="1" x14ac:dyDescent="0.2">
      <c r="B30" s="52" t="s">
        <v>87</v>
      </c>
      <c r="C30" s="80" t="s">
        <v>88</v>
      </c>
      <c r="D30" s="81"/>
      <c r="E30" s="81"/>
      <c r="F30" s="54" t="s">
        <v>89</v>
      </c>
      <c r="G30" s="86" t="s">
        <v>90</v>
      </c>
      <c r="H30" s="81"/>
      <c r="I30" s="81"/>
      <c r="J30" s="81"/>
    </row>
    <row r="31" spans="2:10" ht="26" customHeight="1" x14ac:dyDescent="0.2">
      <c r="B31" s="52" t="s">
        <v>91</v>
      </c>
      <c r="C31" s="80" t="s">
        <v>92</v>
      </c>
      <c r="D31" s="81"/>
      <c r="E31" s="81"/>
      <c r="F31" s="54" t="s">
        <v>93</v>
      </c>
      <c r="G31" s="86" t="s">
        <v>94</v>
      </c>
      <c r="H31" s="81"/>
      <c r="I31" s="81"/>
      <c r="J31" s="81"/>
    </row>
    <row r="32" spans="2:10" ht="26" customHeight="1" x14ac:dyDescent="0.2">
      <c r="B32" s="52" t="s">
        <v>95</v>
      </c>
      <c r="C32" s="80" t="s">
        <v>96</v>
      </c>
      <c r="D32" s="81"/>
      <c r="E32" s="81"/>
      <c r="F32" s="54" t="s">
        <v>97</v>
      </c>
      <c r="G32" s="86" t="s">
        <v>98</v>
      </c>
      <c r="H32" s="81"/>
      <c r="I32" s="81"/>
      <c r="J32" s="81"/>
    </row>
    <row r="33" spans="2:10" ht="26" customHeight="1" x14ac:dyDescent="0.2">
      <c r="B33" s="52" t="s">
        <v>99</v>
      </c>
      <c r="C33" s="80" t="s">
        <v>100</v>
      </c>
      <c r="D33" s="81"/>
      <c r="E33" s="81"/>
      <c r="F33" s="54" t="s">
        <v>101</v>
      </c>
      <c r="G33" s="86" t="s">
        <v>102</v>
      </c>
      <c r="H33" s="81"/>
      <c r="I33" s="81"/>
      <c r="J33" s="81"/>
    </row>
    <row r="34" spans="2:10" ht="26" customHeight="1" x14ac:dyDescent="0.2">
      <c r="B34" s="52" t="s">
        <v>103</v>
      </c>
      <c r="C34" s="80" t="s">
        <v>104</v>
      </c>
      <c r="D34" s="81"/>
      <c r="E34" s="81"/>
      <c r="F34" s="54" t="s">
        <v>105</v>
      </c>
      <c r="G34" s="86" t="s">
        <v>106</v>
      </c>
      <c r="H34" s="81"/>
      <c r="I34" s="81"/>
      <c r="J34" s="81"/>
    </row>
    <row r="35" spans="2:10" ht="26" customHeight="1" x14ac:dyDescent="0.2">
      <c r="B35" s="52" t="s">
        <v>107</v>
      </c>
      <c r="C35" s="80" t="s">
        <v>108</v>
      </c>
      <c r="D35" s="81"/>
      <c r="E35" s="81"/>
      <c r="F35" s="54" t="s">
        <v>109</v>
      </c>
      <c r="G35" s="86" t="s">
        <v>110</v>
      </c>
      <c r="H35" s="81"/>
      <c r="I35" s="81"/>
      <c r="J35" s="81"/>
    </row>
  </sheetData>
  <mergeCells count="53">
    <mergeCell ref="D18:E18"/>
    <mergeCell ref="D17:E17"/>
    <mergeCell ref="D23:G23"/>
    <mergeCell ref="C29:E29"/>
    <mergeCell ref="F17:G17"/>
    <mergeCell ref="G33:J33"/>
    <mergeCell ref="B1:J1"/>
    <mergeCell ref="E12:F12"/>
    <mergeCell ref="D20:E20"/>
    <mergeCell ref="H9:J9"/>
    <mergeCell ref="G30:J30"/>
    <mergeCell ref="B10:C10"/>
    <mergeCell ref="D19:E19"/>
    <mergeCell ref="F19:G19"/>
    <mergeCell ref="H23:I23"/>
    <mergeCell ref="B6:J6"/>
    <mergeCell ref="B5:J5"/>
    <mergeCell ref="B3:J3"/>
    <mergeCell ref="B2:J2"/>
    <mergeCell ref="H24:I24"/>
    <mergeCell ref="E10:F10"/>
    <mergeCell ref="C34:E34"/>
    <mergeCell ref="D24:G24"/>
    <mergeCell ref="B26:G26"/>
    <mergeCell ref="G29:J29"/>
    <mergeCell ref="B8:J8"/>
    <mergeCell ref="B9:C9"/>
    <mergeCell ref="H20:J20"/>
    <mergeCell ref="H17:J17"/>
    <mergeCell ref="F18:G18"/>
    <mergeCell ref="B12:C12"/>
    <mergeCell ref="H10:J10"/>
    <mergeCell ref="B22:J22"/>
    <mergeCell ref="B28:J28"/>
    <mergeCell ref="C30:E30"/>
    <mergeCell ref="G34:J34"/>
    <mergeCell ref="E13:F13"/>
    <mergeCell ref="C35:E35"/>
    <mergeCell ref="E9:F9"/>
    <mergeCell ref="F20:G20"/>
    <mergeCell ref="H26:I26"/>
    <mergeCell ref="D25:G25"/>
    <mergeCell ref="C32:E32"/>
    <mergeCell ref="G35:J35"/>
    <mergeCell ref="H25:I25"/>
    <mergeCell ref="H18:J18"/>
    <mergeCell ref="C31:E31"/>
    <mergeCell ref="B13:C13"/>
    <mergeCell ref="G32:J32"/>
    <mergeCell ref="B16:J16"/>
    <mergeCell ref="G31:J31"/>
    <mergeCell ref="C33:E33"/>
    <mergeCell ref="H19:J19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A5F"/>
  </sheetPr>
  <dimension ref="B1:E84"/>
  <sheetViews>
    <sheetView showGridLines="0" topLeftCell="A14" workbookViewId="0">
      <selection activeCell="B26" sqref="B26:E26"/>
    </sheetView>
  </sheetViews>
  <sheetFormatPr baseColWidth="10" defaultColWidth="8.83203125" defaultRowHeight="15" x14ac:dyDescent="0.2"/>
  <cols>
    <col min="1" max="1" width="2" customWidth="1"/>
    <col min="2" max="2" width="6" customWidth="1"/>
    <col min="3" max="3" width="32" customWidth="1"/>
    <col min="4" max="4" width="60" customWidth="1"/>
    <col min="5" max="5" width="30" customWidth="1"/>
    <col min="6" max="6" width="2" customWidth="1"/>
  </cols>
  <sheetData>
    <row r="1" spans="2:5" ht="24" customHeight="1" x14ac:dyDescent="0.2">
      <c r="B1" s="92" t="s">
        <v>34</v>
      </c>
      <c r="C1" s="64"/>
      <c r="D1" s="64"/>
      <c r="E1" s="64"/>
    </row>
    <row r="2" spans="2:5" ht="4" customHeight="1" x14ac:dyDescent="0.2">
      <c r="B2" s="95"/>
      <c r="C2" s="64"/>
      <c r="D2" s="64"/>
      <c r="E2" s="64"/>
    </row>
    <row r="3" spans="2:5" ht="32" customHeight="1" x14ac:dyDescent="0.2">
      <c r="B3" s="94" t="s">
        <v>111</v>
      </c>
      <c r="C3" s="64"/>
      <c r="D3" s="64"/>
      <c r="E3" s="64"/>
    </row>
    <row r="5" spans="2:5" ht="36" customHeight="1" x14ac:dyDescent="0.2">
      <c r="B5" s="97" t="s">
        <v>112</v>
      </c>
      <c r="C5" s="64"/>
      <c r="D5" s="64"/>
      <c r="E5" s="64"/>
    </row>
    <row r="7" spans="2:5" ht="22" customHeight="1" x14ac:dyDescent="0.2">
      <c r="B7" s="4" t="s">
        <v>71</v>
      </c>
      <c r="C7" s="4" t="s">
        <v>113</v>
      </c>
      <c r="D7" s="4" t="s">
        <v>73</v>
      </c>
      <c r="E7" s="4" t="s">
        <v>114</v>
      </c>
    </row>
    <row r="8" spans="2:5" ht="22" customHeight="1" x14ac:dyDescent="0.2">
      <c r="B8" s="96" t="s">
        <v>115</v>
      </c>
      <c r="C8" s="64"/>
      <c r="D8" s="64"/>
      <c r="E8" s="64"/>
    </row>
    <row r="9" spans="2:5" ht="45" customHeight="1" x14ac:dyDescent="0.2">
      <c r="B9" s="7" t="s">
        <v>116</v>
      </c>
      <c r="C9" s="8" t="s">
        <v>117</v>
      </c>
      <c r="D9" s="9" t="s">
        <v>118</v>
      </c>
      <c r="E9" s="10" t="s">
        <v>119</v>
      </c>
    </row>
    <row r="10" spans="2:5" ht="41" customHeight="1" x14ac:dyDescent="0.2">
      <c r="B10" s="7" t="s">
        <v>120</v>
      </c>
      <c r="C10" s="8" t="s">
        <v>121</v>
      </c>
      <c r="D10" s="9" t="s">
        <v>122</v>
      </c>
      <c r="E10" s="10" t="s">
        <v>123</v>
      </c>
    </row>
    <row r="11" spans="2:5" ht="49" customHeight="1" x14ac:dyDescent="0.2">
      <c r="B11" s="7" t="s">
        <v>124</v>
      </c>
      <c r="C11" s="8" t="s">
        <v>125</v>
      </c>
      <c r="D11" s="9" t="s">
        <v>126</v>
      </c>
      <c r="E11" s="10" t="s">
        <v>127</v>
      </c>
    </row>
    <row r="12" spans="2:5" ht="26" x14ac:dyDescent="0.2">
      <c r="B12" s="7" t="s">
        <v>128</v>
      </c>
      <c r="C12" s="8" t="s">
        <v>129</v>
      </c>
      <c r="D12" s="9" t="s">
        <v>130</v>
      </c>
      <c r="E12" s="10" t="s">
        <v>131</v>
      </c>
    </row>
    <row r="13" spans="2:5" ht="22" customHeight="1" x14ac:dyDescent="0.2">
      <c r="B13" s="96" t="s">
        <v>132</v>
      </c>
      <c r="C13" s="64"/>
      <c r="D13" s="64"/>
      <c r="E13" s="64"/>
    </row>
    <row r="14" spans="2:5" ht="66" customHeight="1" x14ac:dyDescent="0.2">
      <c r="B14" s="7" t="s">
        <v>133</v>
      </c>
      <c r="C14" s="8" t="s">
        <v>134</v>
      </c>
      <c r="D14" s="9" t="s">
        <v>135</v>
      </c>
      <c r="E14" s="10" t="s">
        <v>136</v>
      </c>
    </row>
    <row r="15" spans="2:5" ht="22" customHeight="1" x14ac:dyDescent="0.2">
      <c r="B15" s="96" t="s">
        <v>137</v>
      </c>
      <c r="C15" s="64"/>
      <c r="D15" s="64"/>
      <c r="E15" s="64"/>
    </row>
    <row r="16" spans="2:5" ht="59" customHeight="1" x14ac:dyDescent="0.2">
      <c r="B16" s="7" t="s">
        <v>138</v>
      </c>
      <c r="C16" s="8" t="s">
        <v>139</v>
      </c>
      <c r="D16" s="9" t="s">
        <v>140</v>
      </c>
      <c r="E16" s="10" t="s">
        <v>141</v>
      </c>
    </row>
    <row r="17" spans="2:5" ht="22" customHeight="1" x14ac:dyDescent="0.2">
      <c r="B17" s="96" t="s">
        <v>142</v>
      </c>
      <c r="C17" s="64"/>
      <c r="D17" s="64"/>
      <c r="E17" s="64"/>
    </row>
    <row r="18" spans="2:5" ht="49" customHeight="1" x14ac:dyDescent="0.2">
      <c r="B18" s="7" t="s">
        <v>143</v>
      </c>
      <c r="C18" s="8" t="s">
        <v>144</v>
      </c>
      <c r="D18" s="9" t="s">
        <v>145</v>
      </c>
      <c r="E18" s="10" t="s">
        <v>146</v>
      </c>
    </row>
    <row r="19" spans="2:5" ht="53" customHeight="1" x14ac:dyDescent="0.2">
      <c r="B19" s="7" t="s">
        <v>147</v>
      </c>
      <c r="C19" s="8" t="s">
        <v>645</v>
      </c>
      <c r="D19" s="9" t="s">
        <v>148</v>
      </c>
      <c r="E19" s="10" t="s">
        <v>646</v>
      </c>
    </row>
    <row r="20" spans="2:5" ht="38" customHeight="1" x14ac:dyDescent="0.2">
      <c r="B20" s="7" t="s">
        <v>149</v>
      </c>
      <c r="C20" s="8" t="s">
        <v>150</v>
      </c>
      <c r="D20" s="9" t="s">
        <v>151</v>
      </c>
      <c r="E20" s="10" t="s">
        <v>152</v>
      </c>
    </row>
    <row r="21" spans="2:5" ht="38" customHeight="1" x14ac:dyDescent="0.2">
      <c r="B21" s="7" t="s">
        <v>153</v>
      </c>
      <c r="C21" s="8" t="s">
        <v>154</v>
      </c>
      <c r="D21" s="9" t="s">
        <v>155</v>
      </c>
      <c r="E21" s="10" t="s">
        <v>152</v>
      </c>
    </row>
    <row r="22" spans="2:5" ht="38" customHeight="1" x14ac:dyDescent="0.2">
      <c r="B22" s="7" t="s">
        <v>156</v>
      </c>
      <c r="C22" s="8" t="s">
        <v>157</v>
      </c>
      <c r="D22" s="9" t="s">
        <v>158</v>
      </c>
      <c r="E22" s="10" t="s">
        <v>159</v>
      </c>
    </row>
    <row r="23" spans="2:5" ht="22" customHeight="1" x14ac:dyDescent="0.2">
      <c r="B23" s="96" t="s">
        <v>160</v>
      </c>
      <c r="C23" s="64"/>
      <c r="D23" s="64"/>
      <c r="E23" s="64"/>
    </row>
    <row r="24" spans="2:5" ht="39" customHeight="1" x14ac:dyDescent="0.2">
      <c r="B24" s="7" t="s">
        <v>161</v>
      </c>
      <c r="C24" s="8" t="s">
        <v>162</v>
      </c>
      <c r="D24" s="9" t="s">
        <v>163</v>
      </c>
      <c r="E24" s="10" t="s">
        <v>146</v>
      </c>
    </row>
    <row r="25" spans="2:5" ht="46" customHeight="1" x14ac:dyDescent="0.2">
      <c r="B25" s="7" t="s">
        <v>164</v>
      </c>
      <c r="C25" s="8" t="s">
        <v>648</v>
      </c>
      <c r="D25" s="9" t="s">
        <v>165</v>
      </c>
      <c r="E25" s="10" t="s">
        <v>647</v>
      </c>
    </row>
    <row r="26" spans="2:5" ht="22" customHeight="1" x14ac:dyDescent="0.2">
      <c r="B26" s="96" t="s">
        <v>166</v>
      </c>
      <c r="C26" s="64"/>
      <c r="D26" s="64"/>
      <c r="E26" s="64"/>
    </row>
    <row r="27" spans="2:5" ht="38" customHeight="1" x14ac:dyDescent="0.2">
      <c r="B27" s="7" t="s">
        <v>167</v>
      </c>
      <c r="C27" s="8" t="s">
        <v>168</v>
      </c>
      <c r="D27" s="9" t="s">
        <v>169</v>
      </c>
      <c r="E27" s="10" t="s">
        <v>170</v>
      </c>
    </row>
    <row r="28" spans="2:5" ht="38" customHeight="1" x14ac:dyDescent="0.2">
      <c r="B28" s="7" t="s">
        <v>171</v>
      </c>
      <c r="C28" s="8" t="s">
        <v>172</v>
      </c>
      <c r="D28" s="9" t="s">
        <v>173</v>
      </c>
      <c r="E28" s="10" t="s">
        <v>174</v>
      </c>
    </row>
    <row r="29" spans="2:5" ht="38" customHeight="1" x14ac:dyDescent="0.2">
      <c r="B29" s="7" t="s">
        <v>175</v>
      </c>
      <c r="C29" s="8" t="s">
        <v>176</v>
      </c>
      <c r="D29" s="9" t="s">
        <v>177</v>
      </c>
      <c r="E29" s="10" t="s">
        <v>178</v>
      </c>
    </row>
    <row r="30" spans="2:5" ht="38" customHeight="1" x14ac:dyDescent="0.2">
      <c r="B30" s="7" t="s">
        <v>179</v>
      </c>
      <c r="C30" s="8" t="s">
        <v>180</v>
      </c>
      <c r="D30" s="9" t="s">
        <v>181</v>
      </c>
      <c r="E30" s="10" t="s">
        <v>170</v>
      </c>
    </row>
    <row r="31" spans="2:5" ht="38" customHeight="1" x14ac:dyDescent="0.2">
      <c r="B31" s="7" t="s">
        <v>182</v>
      </c>
      <c r="C31" s="8" t="s">
        <v>183</v>
      </c>
      <c r="D31" s="9" t="s">
        <v>184</v>
      </c>
      <c r="E31" s="10" t="s">
        <v>170</v>
      </c>
    </row>
    <row r="32" spans="2:5" ht="38" customHeight="1" x14ac:dyDescent="0.2">
      <c r="B32" s="7" t="s">
        <v>185</v>
      </c>
      <c r="C32" s="8" t="s">
        <v>186</v>
      </c>
      <c r="D32" s="9" t="s">
        <v>187</v>
      </c>
      <c r="E32" s="10" t="s">
        <v>170</v>
      </c>
    </row>
    <row r="33" spans="2:5" ht="38" customHeight="1" x14ac:dyDescent="0.2">
      <c r="B33" s="7" t="s">
        <v>188</v>
      </c>
      <c r="C33" s="8" t="s">
        <v>189</v>
      </c>
      <c r="D33" s="9" t="s">
        <v>190</v>
      </c>
      <c r="E33" s="10" t="s">
        <v>191</v>
      </c>
    </row>
    <row r="34" spans="2:5" ht="38" customHeight="1" x14ac:dyDescent="0.2">
      <c r="B34" s="7" t="s">
        <v>192</v>
      </c>
      <c r="C34" s="8" t="s">
        <v>193</v>
      </c>
      <c r="D34" s="9" t="s">
        <v>194</v>
      </c>
      <c r="E34" s="10" t="s">
        <v>195</v>
      </c>
    </row>
    <row r="35" spans="2:5" ht="38" customHeight="1" x14ac:dyDescent="0.2">
      <c r="B35" s="7" t="s">
        <v>196</v>
      </c>
      <c r="C35" s="8" t="s">
        <v>197</v>
      </c>
      <c r="D35" s="9" t="s">
        <v>198</v>
      </c>
      <c r="E35" s="10" t="s">
        <v>199</v>
      </c>
    </row>
    <row r="36" spans="2:5" ht="22" customHeight="1" x14ac:dyDescent="0.2">
      <c r="B36" s="96" t="s">
        <v>200</v>
      </c>
      <c r="C36" s="64"/>
      <c r="D36" s="64"/>
      <c r="E36" s="64"/>
    </row>
    <row r="37" spans="2:5" ht="44" customHeight="1" x14ac:dyDescent="0.2">
      <c r="B37" s="7" t="s">
        <v>201</v>
      </c>
      <c r="C37" s="8" t="s">
        <v>202</v>
      </c>
      <c r="D37" s="9" t="s">
        <v>203</v>
      </c>
      <c r="E37" s="10" t="s">
        <v>204</v>
      </c>
    </row>
    <row r="38" spans="2:5" ht="50" customHeight="1" x14ac:dyDescent="0.2">
      <c r="B38" s="7" t="s">
        <v>205</v>
      </c>
      <c r="C38" s="8" t="s">
        <v>206</v>
      </c>
      <c r="D38" s="9" t="s">
        <v>207</v>
      </c>
      <c r="E38" s="10" t="s">
        <v>204</v>
      </c>
    </row>
    <row r="39" spans="2:5" ht="38" customHeight="1" x14ac:dyDescent="0.2">
      <c r="B39" s="7" t="s">
        <v>208</v>
      </c>
      <c r="C39" s="8" t="s">
        <v>209</v>
      </c>
      <c r="D39" s="9" t="s">
        <v>210</v>
      </c>
      <c r="E39" s="10" t="s">
        <v>211</v>
      </c>
    </row>
    <row r="40" spans="2:5" ht="38" customHeight="1" x14ac:dyDescent="0.2">
      <c r="B40" s="7" t="s">
        <v>212</v>
      </c>
      <c r="C40" s="8" t="s">
        <v>213</v>
      </c>
      <c r="D40" s="9" t="s">
        <v>214</v>
      </c>
      <c r="E40" s="10" t="s">
        <v>215</v>
      </c>
    </row>
    <row r="41" spans="2:5" ht="22" customHeight="1" x14ac:dyDescent="0.2">
      <c r="B41" s="96" t="s">
        <v>216</v>
      </c>
      <c r="C41" s="64"/>
      <c r="D41" s="64"/>
      <c r="E41" s="64"/>
    </row>
    <row r="42" spans="2:5" ht="43" customHeight="1" x14ac:dyDescent="0.2">
      <c r="B42" s="7" t="s">
        <v>217</v>
      </c>
      <c r="C42" s="8" t="s">
        <v>218</v>
      </c>
      <c r="D42" s="9" t="s">
        <v>219</v>
      </c>
      <c r="E42" s="10" t="s">
        <v>220</v>
      </c>
    </row>
    <row r="43" spans="2:5" ht="40" customHeight="1" x14ac:dyDescent="0.2">
      <c r="B43" s="7" t="s">
        <v>221</v>
      </c>
      <c r="C43" s="8" t="s">
        <v>222</v>
      </c>
      <c r="D43" s="9" t="s">
        <v>223</v>
      </c>
      <c r="E43" s="10" t="s">
        <v>224</v>
      </c>
    </row>
    <row r="44" spans="2:5" ht="40" customHeight="1" x14ac:dyDescent="0.2">
      <c r="B44" s="7" t="s">
        <v>225</v>
      </c>
      <c r="C44" s="8" t="s">
        <v>226</v>
      </c>
      <c r="D44" s="9" t="s">
        <v>227</v>
      </c>
      <c r="E44" s="10" t="s">
        <v>228</v>
      </c>
    </row>
    <row r="45" spans="2:5" ht="22" customHeight="1" x14ac:dyDescent="0.2">
      <c r="B45" s="96" t="s">
        <v>229</v>
      </c>
      <c r="C45" s="64"/>
      <c r="D45" s="64"/>
      <c r="E45" s="64"/>
    </row>
    <row r="46" spans="2:5" ht="47" customHeight="1" x14ac:dyDescent="0.2">
      <c r="B46" s="7" t="s">
        <v>230</v>
      </c>
      <c r="C46" s="8" t="s">
        <v>231</v>
      </c>
      <c r="D46" s="9" t="s">
        <v>232</v>
      </c>
      <c r="E46" s="10" t="s">
        <v>233</v>
      </c>
    </row>
    <row r="47" spans="2:5" ht="38" customHeight="1" x14ac:dyDescent="0.2">
      <c r="B47" s="7" t="s">
        <v>234</v>
      </c>
      <c r="C47" s="8" t="s">
        <v>235</v>
      </c>
      <c r="D47" s="9" t="s">
        <v>236</v>
      </c>
      <c r="E47" s="10" t="s">
        <v>237</v>
      </c>
    </row>
    <row r="48" spans="2:5" ht="38" customHeight="1" x14ac:dyDescent="0.2">
      <c r="B48" s="7" t="s">
        <v>238</v>
      </c>
      <c r="C48" s="8" t="s">
        <v>239</v>
      </c>
      <c r="D48" s="9" t="s">
        <v>240</v>
      </c>
      <c r="E48" s="10" t="s">
        <v>241</v>
      </c>
    </row>
    <row r="49" spans="2:5" ht="42" customHeight="1" x14ac:dyDescent="0.2">
      <c r="B49" s="7" t="s">
        <v>242</v>
      </c>
      <c r="C49" s="8" t="s">
        <v>243</v>
      </c>
      <c r="D49" s="9" t="s">
        <v>244</v>
      </c>
      <c r="E49" s="10" t="s">
        <v>245</v>
      </c>
    </row>
    <row r="50" spans="2:5" ht="41" customHeight="1" x14ac:dyDescent="0.2">
      <c r="B50" s="7" t="s">
        <v>246</v>
      </c>
      <c r="C50" s="8" t="s">
        <v>247</v>
      </c>
      <c r="D50" s="9" t="s">
        <v>248</v>
      </c>
      <c r="E50" s="10" t="s">
        <v>249</v>
      </c>
    </row>
    <row r="51" spans="2:5" ht="22" customHeight="1" x14ac:dyDescent="0.2">
      <c r="B51" s="96" t="s">
        <v>250</v>
      </c>
      <c r="C51" s="64"/>
      <c r="D51" s="64"/>
      <c r="E51" s="64"/>
    </row>
    <row r="52" spans="2:5" ht="41" customHeight="1" x14ac:dyDescent="0.2">
      <c r="B52" s="7" t="s">
        <v>251</v>
      </c>
      <c r="C52" s="8" t="s">
        <v>252</v>
      </c>
      <c r="D52" s="9" t="s">
        <v>253</v>
      </c>
      <c r="E52" s="10" t="s">
        <v>254</v>
      </c>
    </row>
    <row r="53" spans="2:5" ht="38" customHeight="1" x14ac:dyDescent="0.2">
      <c r="B53" s="7" t="s">
        <v>255</v>
      </c>
      <c r="C53" s="8" t="s">
        <v>256</v>
      </c>
      <c r="D53" s="9" t="s">
        <v>257</v>
      </c>
      <c r="E53" s="10" t="s">
        <v>258</v>
      </c>
    </row>
    <row r="54" spans="2:5" ht="38" customHeight="1" x14ac:dyDescent="0.2">
      <c r="B54" s="7" t="s">
        <v>259</v>
      </c>
      <c r="C54" s="8" t="s">
        <v>260</v>
      </c>
      <c r="D54" s="9" t="s">
        <v>261</v>
      </c>
      <c r="E54" s="10" t="s">
        <v>262</v>
      </c>
    </row>
    <row r="55" spans="2:5" ht="38" customHeight="1" x14ac:dyDescent="0.2">
      <c r="B55" s="7" t="s">
        <v>263</v>
      </c>
      <c r="C55" s="8" t="s">
        <v>264</v>
      </c>
      <c r="D55" s="9" t="s">
        <v>265</v>
      </c>
      <c r="E55" s="10" t="s">
        <v>266</v>
      </c>
    </row>
    <row r="56" spans="2:5" ht="38" customHeight="1" x14ac:dyDescent="0.2">
      <c r="B56" s="7" t="s">
        <v>267</v>
      </c>
      <c r="C56" s="8" t="s">
        <v>268</v>
      </c>
      <c r="D56" s="9" t="s">
        <v>269</v>
      </c>
      <c r="E56" s="10" t="s">
        <v>270</v>
      </c>
    </row>
    <row r="57" spans="2:5" ht="22" customHeight="1" x14ac:dyDescent="0.2">
      <c r="B57" s="96" t="s">
        <v>271</v>
      </c>
      <c r="C57" s="64"/>
      <c r="D57" s="64"/>
      <c r="E57" s="64"/>
    </row>
    <row r="58" spans="2:5" ht="41" customHeight="1" x14ac:dyDescent="0.2">
      <c r="B58" s="7" t="s">
        <v>272</v>
      </c>
      <c r="C58" s="8" t="s">
        <v>273</v>
      </c>
      <c r="D58" s="9" t="s">
        <v>274</v>
      </c>
      <c r="E58" s="10" t="s">
        <v>275</v>
      </c>
    </row>
    <row r="59" spans="2:5" ht="39" customHeight="1" x14ac:dyDescent="0.2">
      <c r="B59" s="7" t="s">
        <v>276</v>
      </c>
      <c r="C59" s="8" t="s">
        <v>277</v>
      </c>
      <c r="D59" s="9" t="s">
        <v>278</v>
      </c>
      <c r="E59" s="10" t="s">
        <v>279</v>
      </c>
    </row>
    <row r="60" spans="2:5" ht="38" customHeight="1" x14ac:dyDescent="0.2">
      <c r="B60" s="7" t="s">
        <v>280</v>
      </c>
      <c r="C60" s="8" t="s">
        <v>281</v>
      </c>
      <c r="D60" s="9" t="s">
        <v>282</v>
      </c>
      <c r="E60" s="10" t="s">
        <v>283</v>
      </c>
    </row>
    <row r="61" spans="2:5" ht="40" customHeight="1" x14ac:dyDescent="0.2">
      <c r="B61" s="7" t="s">
        <v>284</v>
      </c>
      <c r="C61" s="8" t="s">
        <v>285</v>
      </c>
      <c r="D61" s="9" t="s">
        <v>644</v>
      </c>
      <c r="E61" s="10" t="s">
        <v>286</v>
      </c>
    </row>
    <row r="62" spans="2:5" ht="22" customHeight="1" x14ac:dyDescent="0.2">
      <c r="B62" s="96" t="s">
        <v>287</v>
      </c>
      <c r="C62" s="64"/>
      <c r="D62" s="64"/>
      <c r="E62" s="64"/>
    </row>
    <row r="63" spans="2:5" ht="48" customHeight="1" x14ac:dyDescent="0.2">
      <c r="B63" s="7" t="s">
        <v>288</v>
      </c>
      <c r="C63" s="8" t="s">
        <v>289</v>
      </c>
      <c r="D63" s="9" t="s">
        <v>290</v>
      </c>
      <c r="E63" s="10" t="s">
        <v>291</v>
      </c>
    </row>
    <row r="64" spans="2:5" ht="38" customHeight="1" x14ac:dyDescent="0.2">
      <c r="B64" s="7" t="s">
        <v>292</v>
      </c>
      <c r="C64" s="8" t="s">
        <v>293</v>
      </c>
      <c r="D64" s="9" t="s">
        <v>294</v>
      </c>
      <c r="E64" s="10" t="s">
        <v>295</v>
      </c>
    </row>
    <row r="65" spans="2:5" ht="41" customHeight="1" x14ac:dyDescent="0.2">
      <c r="B65" s="7" t="s">
        <v>296</v>
      </c>
      <c r="C65" s="8" t="s">
        <v>297</v>
      </c>
      <c r="D65" s="9" t="s">
        <v>298</v>
      </c>
      <c r="E65" s="10" t="s">
        <v>299</v>
      </c>
    </row>
    <row r="66" spans="2:5" ht="38" customHeight="1" x14ac:dyDescent="0.2">
      <c r="B66" s="7" t="s">
        <v>300</v>
      </c>
      <c r="C66" s="8" t="s">
        <v>301</v>
      </c>
      <c r="D66" s="9" t="s">
        <v>302</v>
      </c>
      <c r="E66" s="10" t="s">
        <v>303</v>
      </c>
    </row>
    <row r="67" spans="2:5" ht="42" customHeight="1" x14ac:dyDescent="0.2">
      <c r="B67" s="7" t="s">
        <v>304</v>
      </c>
      <c r="C67" s="8" t="s">
        <v>305</v>
      </c>
      <c r="D67" s="9" t="s">
        <v>306</v>
      </c>
      <c r="E67" s="10" t="s">
        <v>307</v>
      </c>
    </row>
    <row r="68" spans="2:5" ht="22" customHeight="1" x14ac:dyDescent="0.2">
      <c r="B68" s="96" t="s">
        <v>308</v>
      </c>
      <c r="C68" s="64"/>
      <c r="D68" s="64"/>
      <c r="E68" s="64"/>
    </row>
    <row r="69" spans="2:5" ht="52" customHeight="1" x14ac:dyDescent="0.2">
      <c r="B69" s="7" t="s">
        <v>309</v>
      </c>
      <c r="C69" s="8" t="s">
        <v>310</v>
      </c>
      <c r="D69" s="9" t="s">
        <v>311</v>
      </c>
      <c r="E69" s="10" t="s">
        <v>312</v>
      </c>
    </row>
    <row r="70" spans="2:5" ht="22" customHeight="1" x14ac:dyDescent="0.2">
      <c r="B70" s="96" t="s">
        <v>313</v>
      </c>
      <c r="C70" s="64"/>
      <c r="D70" s="64"/>
      <c r="E70" s="64"/>
    </row>
    <row r="71" spans="2:5" ht="38" customHeight="1" x14ac:dyDescent="0.2">
      <c r="B71" s="7" t="s">
        <v>314</v>
      </c>
      <c r="C71" s="8" t="s">
        <v>315</v>
      </c>
      <c r="D71" s="9" t="s">
        <v>316</v>
      </c>
      <c r="E71" s="10" t="s">
        <v>317</v>
      </c>
    </row>
    <row r="72" spans="2:5" ht="22" customHeight="1" x14ac:dyDescent="0.2">
      <c r="B72" s="96" t="s">
        <v>318</v>
      </c>
      <c r="C72" s="64"/>
      <c r="D72" s="64"/>
      <c r="E72" s="64"/>
    </row>
    <row r="73" spans="2:5" ht="49" customHeight="1" x14ac:dyDescent="0.2">
      <c r="B73" s="7" t="s">
        <v>319</v>
      </c>
      <c r="C73" s="8" t="s">
        <v>320</v>
      </c>
      <c r="D73" s="9" t="s">
        <v>321</v>
      </c>
      <c r="E73" s="10" t="s">
        <v>322</v>
      </c>
    </row>
    <row r="74" spans="2:5" ht="22" customHeight="1" x14ac:dyDescent="0.2">
      <c r="B74" s="96" t="s">
        <v>323</v>
      </c>
      <c r="C74" s="64"/>
      <c r="D74" s="64"/>
      <c r="E74" s="64"/>
    </row>
    <row r="75" spans="2:5" ht="38" customHeight="1" x14ac:dyDescent="0.2">
      <c r="B75" s="7" t="s">
        <v>324</v>
      </c>
      <c r="C75" s="8" t="s">
        <v>325</v>
      </c>
      <c r="D75" s="9" t="s">
        <v>326</v>
      </c>
      <c r="E75" s="10" t="s">
        <v>327</v>
      </c>
    </row>
    <row r="76" spans="2:5" ht="38" customHeight="1" x14ac:dyDescent="0.2">
      <c r="B76" s="7" t="s">
        <v>328</v>
      </c>
      <c r="C76" s="8" t="s">
        <v>329</v>
      </c>
      <c r="D76" s="9" t="s">
        <v>330</v>
      </c>
      <c r="E76" s="10" t="s">
        <v>331</v>
      </c>
    </row>
    <row r="77" spans="2:5" ht="38" customHeight="1" x14ac:dyDescent="0.2">
      <c r="B77" s="7" t="s">
        <v>332</v>
      </c>
      <c r="C77" s="8" t="s">
        <v>333</v>
      </c>
      <c r="D77" s="9" t="s">
        <v>334</v>
      </c>
      <c r="E77" s="10" t="s">
        <v>335</v>
      </c>
    </row>
    <row r="78" spans="2:5" ht="38" customHeight="1" x14ac:dyDescent="0.2">
      <c r="B78" s="7" t="s">
        <v>336</v>
      </c>
      <c r="C78" s="8" t="s">
        <v>337</v>
      </c>
      <c r="D78" s="9" t="s">
        <v>338</v>
      </c>
      <c r="E78" s="10" t="s">
        <v>339</v>
      </c>
    </row>
    <row r="79" spans="2:5" ht="22" customHeight="1" x14ac:dyDescent="0.2">
      <c r="B79" s="96" t="s">
        <v>340</v>
      </c>
      <c r="C79" s="64"/>
      <c r="D79" s="64"/>
      <c r="E79" s="64"/>
    </row>
    <row r="80" spans="2:5" ht="38" customHeight="1" x14ac:dyDescent="0.2">
      <c r="B80" s="7" t="s">
        <v>341</v>
      </c>
      <c r="C80" s="8" t="s">
        <v>342</v>
      </c>
      <c r="D80" s="9" t="s">
        <v>343</v>
      </c>
      <c r="E80" s="10" t="s">
        <v>344</v>
      </c>
    </row>
    <row r="81" spans="2:5" ht="38" customHeight="1" x14ac:dyDescent="0.2">
      <c r="B81" s="7" t="s">
        <v>345</v>
      </c>
      <c r="C81" s="8" t="s">
        <v>346</v>
      </c>
      <c r="D81" s="9" t="s">
        <v>347</v>
      </c>
      <c r="E81" s="10" t="s">
        <v>348</v>
      </c>
    </row>
    <row r="82" spans="2:5" ht="38" customHeight="1" x14ac:dyDescent="0.2">
      <c r="B82" s="7" t="s">
        <v>349</v>
      </c>
      <c r="C82" s="8" t="s">
        <v>350</v>
      </c>
      <c r="D82" s="9" t="s">
        <v>351</v>
      </c>
      <c r="E82" s="10" t="s">
        <v>352</v>
      </c>
    </row>
    <row r="83" spans="2:5" ht="22" customHeight="1" x14ac:dyDescent="0.2">
      <c r="B83" s="96" t="s">
        <v>353</v>
      </c>
      <c r="C83" s="64"/>
      <c r="D83" s="64"/>
      <c r="E83" s="64"/>
    </row>
    <row r="84" spans="2:5" ht="40" customHeight="1" x14ac:dyDescent="0.2">
      <c r="B84" s="7" t="s">
        <v>354</v>
      </c>
      <c r="C84" s="8" t="s">
        <v>355</v>
      </c>
      <c r="D84" s="9" t="s">
        <v>356</v>
      </c>
      <c r="E84" s="10" t="s">
        <v>357</v>
      </c>
    </row>
  </sheetData>
  <mergeCells count="22">
    <mergeCell ref="B72:E72"/>
    <mergeCell ref="B70:E70"/>
    <mergeCell ref="B2:E2"/>
    <mergeCell ref="B17:E17"/>
    <mergeCell ref="B23:E23"/>
    <mergeCell ref="B83:E83"/>
    <mergeCell ref="B74:E74"/>
    <mergeCell ref="B68:E68"/>
    <mergeCell ref="B15:E15"/>
    <mergeCell ref="B5:E5"/>
    <mergeCell ref="B51:E51"/>
    <mergeCell ref="B36:E36"/>
    <mergeCell ref="B45:E45"/>
    <mergeCell ref="B26:E26"/>
    <mergeCell ref="B41:E41"/>
    <mergeCell ref="B79:E79"/>
    <mergeCell ref="B62:E62"/>
    <mergeCell ref="B1:E1"/>
    <mergeCell ref="B8:E8"/>
    <mergeCell ref="B57:E57"/>
    <mergeCell ref="B13:E13"/>
    <mergeCell ref="B3:E3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19A5B"/>
  </sheetPr>
  <dimension ref="B1:L69"/>
  <sheetViews>
    <sheetView showGridLines="0" topLeftCell="B54" workbookViewId="0">
      <selection activeCell="I66" sqref="I66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3" width="38" customWidth="1"/>
    <col min="4" max="4" width="7" customWidth="1"/>
    <col min="5" max="6" width="8" customWidth="1"/>
    <col min="7" max="7" width="7" customWidth="1"/>
    <col min="8" max="8" width="9" customWidth="1"/>
    <col min="9" max="9" width="18" customWidth="1"/>
    <col min="10" max="10" width="13" customWidth="1"/>
    <col min="11" max="11" width="9" customWidth="1"/>
    <col min="12" max="12" width="38" customWidth="1"/>
    <col min="13" max="13" width="2" customWidth="1"/>
  </cols>
  <sheetData>
    <row r="1" spans="2:12" ht="24" customHeight="1" x14ac:dyDescent="0.2">
      <c r="B1" s="92" t="s">
        <v>34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ht="4" customHeight="1" x14ac:dyDescent="0.2">
      <c r="B2" s="95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2:12" ht="32" customHeight="1" x14ac:dyDescent="0.2">
      <c r="B3" s="94" t="s">
        <v>358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5" spans="2:12" ht="22" customHeight="1" x14ac:dyDescent="0.2">
      <c r="B5" s="106" t="s">
        <v>359</v>
      </c>
      <c r="C5" s="64"/>
      <c r="D5" s="64"/>
      <c r="E5" s="64"/>
      <c r="F5" s="64"/>
      <c r="G5" s="64"/>
      <c r="H5" s="64"/>
      <c r="I5" s="64"/>
      <c r="J5" s="64"/>
      <c r="K5" s="64"/>
      <c r="L5" s="64"/>
    </row>
    <row r="7" spans="2:12" ht="22" customHeight="1" x14ac:dyDescent="0.2">
      <c r="B7" s="98" t="s">
        <v>360</v>
      </c>
      <c r="C7" s="98" t="s">
        <v>361</v>
      </c>
      <c r="D7" s="98" t="s">
        <v>362</v>
      </c>
      <c r="E7" s="64"/>
      <c r="F7" s="64"/>
      <c r="G7" s="64"/>
      <c r="H7" s="64"/>
      <c r="I7" s="98" t="s">
        <v>363</v>
      </c>
      <c r="J7" s="98" t="s">
        <v>364</v>
      </c>
      <c r="K7" s="98" t="s">
        <v>365</v>
      </c>
      <c r="L7" s="98" t="s">
        <v>366</v>
      </c>
    </row>
    <row r="8" spans="2:12" ht="18" customHeight="1" x14ac:dyDescent="0.2">
      <c r="B8" s="64"/>
      <c r="C8" s="64"/>
      <c r="D8" s="11" t="s">
        <v>367</v>
      </c>
      <c r="E8" s="11" t="s">
        <v>368</v>
      </c>
      <c r="F8" s="11" t="s">
        <v>369</v>
      </c>
      <c r="G8" s="11" t="s">
        <v>370</v>
      </c>
      <c r="H8" s="11" t="s">
        <v>371</v>
      </c>
      <c r="I8" s="64"/>
      <c r="J8" s="64"/>
      <c r="K8" s="64"/>
      <c r="L8" s="64"/>
    </row>
    <row r="9" spans="2:12" ht="38" customHeight="1" x14ac:dyDescent="0.2">
      <c r="B9" s="99" t="s">
        <v>372</v>
      </c>
      <c r="C9" s="13" t="s">
        <v>121</v>
      </c>
      <c r="D9" s="14">
        <v>12</v>
      </c>
      <c r="E9" s="14">
        <v>8</v>
      </c>
      <c r="F9" s="15"/>
      <c r="G9" s="14">
        <v>4</v>
      </c>
      <c r="H9" s="16">
        <f t="shared" ref="H9" si="0">SUM(D9:G9)</f>
        <v>24</v>
      </c>
      <c r="I9" s="17">
        <f t="shared" ref="I9" si="1">H9*19.25*26000*K9</f>
        <v>12012000</v>
      </c>
      <c r="J9" s="18">
        <f t="shared" ref="J9" si="2">I9/26000</f>
        <v>462</v>
      </c>
      <c r="K9" s="14">
        <v>1</v>
      </c>
      <c r="L9" s="19" t="s">
        <v>373</v>
      </c>
    </row>
    <row r="10" spans="2:12" ht="38" customHeight="1" x14ac:dyDescent="0.2">
      <c r="B10" s="101"/>
      <c r="C10" s="13" t="s">
        <v>129</v>
      </c>
      <c r="D10" s="15"/>
      <c r="E10" s="14">
        <v>60</v>
      </c>
      <c r="F10" s="14">
        <v>16</v>
      </c>
      <c r="G10" s="14">
        <v>8</v>
      </c>
      <c r="H10" s="16">
        <f t="shared" ref="H10:H36" si="3">SUM(D10:G10)</f>
        <v>84</v>
      </c>
      <c r="I10" s="17">
        <f t="shared" ref="I10:I28" si="4">H10*19.25*26000*K10</f>
        <v>42042000</v>
      </c>
      <c r="J10" s="18">
        <f t="shared" ref="J10:J28" si="5">I10/26000</f>
        <v>1617</v>
      </c>
      <c r="K10" s="14">
        <v>1</v>
      </c>
      <c r="L10" s="19" t="s">
        <v>374</v>
      </c>
    </row>
    <row r="11" spans="2:12" ht="38" customHeight="1" x14ac:dyDescent="0.2">
      <c r="B11" s="20" t="s">
        <v>375</v>
      </c>
      <c r="C11" s="13" t="s">
        <v>376</v>
      </c>
      <c r="D11" s="14">
        <v>8</v>
      </c>
      <c r="E11" s="14">
        <v>56</v>
      </c>
      <c r="F11" s="14">
        <v>48</v>
      </c>
      <c r="G11" s="14">
        <v>6</v>
      </c>
      <c r="H11" s="16">
        <f t="shared" si="3"/>
        <v>118</v>
      </c>
      <c r="I11" s="17">
        <f t="shared" si="4"/>
        <v>59059000</v>
      </c>
      <c r="J11" s="18">
        <f t="shared" si="5"/>
        <v>2271.5</v>
      </c>
      <c r="K11" s="14">
        <v>1</v>
      </c>
      <c r="L11" s="19" t="s">
        <v>377</v>
      </c>
    </row>
    <row r="12" spans="2:12" ht="38" customHeight="1" x14ac:dyDescent="0.2">
      <c r="B12" s="99" t="s">
        <v>378</v>
      </c>
      <c r="C12" s="13" t="s">
        <v>379</v>
      </c>
      <c r="D12" s="14">
        <v>6</v>
      </c>
      <c r="E12" s="14">
        <v>32</v>
      </c>
      <c r="F12" s="14">
        <v>28</v>
      </c>
      <c r="G12" s="14">
        <v>4</v>
      </c>
      <c r="H12" s="16">
        <f t="shared" si="3"/>
        <v>70</v>
      </c>
      <c r="I12" s="17">
        <f t="shared" si="4"/>
        <v>35035000</v>
      </c>
      <c r="J12" s="18">
        <f t="shared" si="5"/>
        <v>1347.5</v>
      </c>
      <c r="K12" s="14">
        <v>1</v>
      </c>
      <c r="L12" s="19" t="s">
        <v>380</v>
      </c>
    </row>
    <row r="13" spans="2:12" ht="38" customHeight="1" x14ac:dyDescent="0.2">
      <c r="B13" s="101"/>
      <c r="C13" s="13" t="s">
        <v>381</v>
      </c>
      <c r="D13" s="14">
        <v>2</v>
      </c>
      <c r="E13" s="14">
        <v>18</v>
      </c>
      <c r="F13" s="14">
        <v>16</v>
      </c>
      <c r="G13" s="14">
        <v>3</v>
      </c>
      <c r="H13" s="16">
        <f t="shared" si="3"/>
        <v>39</v>
      </c>
      <c r="I13" s="17">
        <f t="shared" si="4"/>
        <v>58558500</v>
      </c>
      <c r="J13" s="18">
        <f t="shared" si="5"/>
        <v>2252.25</v>
      </c>
      <c r="K13" s="14">
        <v>3</v>
      </c>
      <c r="L13" s="19" t="s">
        <v>382</v>
      </c>
    </row>
    <row r="14" spans="2:12" ht="38" customHeight="1" x14ac:dyDescent="0.2">
      <c r="B14" s="99" t="s">
        <v>383</v>
      </c>
      <c r="C14" s="13" t="s">
        <v>384</v>
      </c>
      <c r="D14" s="14">
        <v>8</v>
      </c>
      <c r="E14" s="14">
        <v>40</v>
      </c>
      <c r="F14" s="14">
        <v>32</v>
      </c>
      <c r="G14" s="14">
        <v>6</v>
      </c>
      <c r="H14" s="16">
        <f t="shared" si="3"/>
        <v>86</v>
      </c>
      <c r="I14" s="17">
        <f t="shared" si="4"/>
        <v>43043000</v>
      </c>
      <c r="J14" s="18">
        <f t="shared" si="5"/>
        <v>1655.5</v>
      </c>
      <c r="K14" s="14">
        <v>1</v>
      </c>
      <c r="L14" s="19" t="s">
        <v>385</v>
      </c>
    </row>
    <row r="15" spans="2:12" ht="38" customHeight="1" x14ac:dyDescent="0.2">
      <c r="B15" s="100"/>
      <c r="C15" s="13" t="s">
        <v>642</v>
      </c>
      <c r="D15" s="14">
        <v>3</v>
      </c>
      <c r="E15" s="14">
        <v>24</v>
      </c>
      <c r="F15" s="14">
        <v>18</v>
      </c>
      <c r="G15" s="14">
        <v>3</v>
      </c>
      <c r="H15" s="16">
        <f t="shared" si="3"/>
        <v>48</v>
      </c>
      <c r="I15" s="17">
        <f t="shared" si="4"/>
        <v>72072000</v>
      </c>
      <c r="J15" s="18">
        <f t="shared" si="5"/>
        <v>2772</v>
      </c>
      <c r="K15" s="14">
        <v>3</v>
      </c>
      <c r="L15" s="19" t="s">
        <v>643</v>
      </c>
    </row>
    <row r="16" spans="2:12" ht="38" customHeight="1" x14ac:dyDescent="0.2">
      <c r="B16" s="100"/>
      <c r="C16" s="13" t="s">
        <v>386</v>
      </c>
      <c r="D16" s="14">
        <v>2</v>
      </c>
      <c r="E16" s="14">
        <v>16</v>
      </c>
      <c r="F16" s="14">
        <v>12</v>
      </c>
      <c r="G16" s="14">
        <v>2</v>
      </c>
      <c r="H16" s="16">
        <f t="shared" si="3"/>
        <v>32</v>
      </c>
      <c r="I16" s="17">
        <f t="shared" si="4"/>
        <v>16016000</v>
      </c>
      <c r="J16" s="18">
        <f t="shared" si="5"/>
        <v>616</v>
      </c>
      <c r="K16" s="14">
        <v>1</v>
      </c>
      <c r="L16" s="19" t="s">
        <v>151</v>
      </c>
    </row>
    <row r="17" spans="2:12" ht="38" customHeight="1" x14ac:dyDescent="0.2">
      <c r="B17" s="100"/>
      <c r="C17" s="13" t="s">
        <v>387</v>
      </c>
      <c r="D17" s="14">
        <v>2</v>
      </c>
      <c r="E17" s="14">
        <v>12</v>
      </c>
      <c r="F17" s="14">
        <v>10</v>
      </c>
      <c r="G17" s="14">
        <v>2</v>
      </c>
      <c r="H17" s="16">
        <f t="shared" si="3"/>
        <v>26</v>
      </c>
      <c r="I17" s="17">
        <f t="shared" si="4"/>
        <v>13013000</v>
      </c>
      <c r="J17" s="18">
        <f t="shared" si="5"/>
        <v>500.5</v>
      </c>
      <c r="K17" s="14">
        <v>1</v>
      </c>
      <c r="L17" s="19" t="s">
        <v>155</v>
      </c>
    </row>
    <row r="18" spans="2:12" ht="38" customHeight="1" x14ac:dyDescent="0.2">
      <c r="B18" s="101"/>
      <c r="C18" s="13" t="s">
        <v>388</v>
      </c>
      <c r="D18" s="14">
        <v>3</v>
      </c>
      <c r="E18" s="14">
        <v>16</v>
      </c>
      <c r="F18" s="14">
        <v>14</v>
      </c>
      <c r="G18" s="14">
        <v>3</v>
      </c>
      <c r="H18" s="16">
        <f t="shared" si="3"/>
        <v>36</v>
      </c>
      <c r="I18" s="17">
        <f t="shared" si="4"/>
        <v>18018000</v>
      </c>
      <c r="J18" s="18">
        <f t="shared" si="5"/>
        <v>693</v>
      </c>
      <c r="K18" s="14">
        <v>1</v>
      </c>
      <c r="L18" s="19" t="s">
        <v>389</v>
      </c>
    </row>
    <row r="19" spans="2:12" ht="38" customHeight="1" x14ac:dyDescent="0.2">
      <c r="B19" s="99" t="s">
        <v>390</v>
      </c>
      <c r="C19" s="13" t="s">
        <v>391</v>
      </c>
      <c r="D19" s="14">
        <v>4</v>
      </c>
      <c r="E19" s="14">
        <v>24</v>
      </c>
      <c r="F19" s="14">
        <v>12</v>
      </c>
      <c r="G19" s="14">
        <v>2</v>
      </c>
      <c r="H19" s="16">
        <f t="shared" si="3"/>
        <v>42</v>
      </c>
      <c r="I19" s="17">
        <f t="shared" si="4"/>
        <v>21021000</v>
      </c>
      <c r="J19" s="18">
        <f t="shared" si="5"/>
        <v>808.5</v>
      </c>
      <c r="K19" s="14">
        <v>1</v>
      </c>
      <c r="L19" s="19" t="s">
        <v>392</v>
      </c>
    </row>
    <row r="20" spans="2:12" ht="38" customHeight="1" x14ac:dyDescent="0.2">
      <c r="B20" s="101"/>
      <c r="C20" s="13" t="s">
        <v>393</v>
      </c>
      <c r="D20" s="14">
        <v>2</v>
      </c>
      <c r="E20" s="14">
        <v>32</v>
      </c>
      <c r="F20" s="15"/>
      <c r="G20" s="14">
        <v>4</v>
      </c>
      <c r="H20" s="16">
        <f t="shared" si="3"/>
        <v>38</v>
      </c>
      <c r="I20" s="17">
        <f t="shared" si="4"/>
        <v>57057000</v>
      </c>
      <c r="J20" s="18">
        <f t="shared" si="5"/>
        <v>2194.5</v>
      </c>
      <c r="K20" s="14">
        <v>3</v>
      </c>
      <c r="L20" s="19" t="s">
        <v>394</v>
      </c>
    </row>
    <row r="21" spans="2:12" ht="38" customHeight="1" x14ac:dyDescent="0.2">
      <c r="B21" s="99" t="s">
        <v>395</v>
      </c>
      <c r="C21" s="13" t="s">
        <v>168</v>
      </c>
      <c r="D21" s="14">
        <v>4</v>
      </c>
      <c r="E21" s="14">
        <v>16</v>
      </c>
      <c r="F21" s="14">
        <v>12</v>
      </c>
      <c r="G21" s="14">
        <v>2</v>
      </c>
      <c r="H21" s="16">
        <f t="shared" si="3"/>
        <v>34</v>
      </c>
      <c r="I21" s="17">
        <f t="shared" si="4"/>
        <v>17017000</v>
      </c>
      <c r="J21" s="18">
        <f t="shared" si="5"/>
        <v>654.5</v>
      </c>
      <c r="K21" s="14">
        <v>1</v>
      </c>
      <c r="L21" s="15"/>
    </row>
    <row r="22" spans="2:12" ht="38" customHeight="1" x14ac:dyDescent="0.2">
      <c r="B22" s="100"/>
      <c r="C22" s="13" t="s">
        <v>396</v>
      </c>
      <c r="D22" s="14">
        <v>4</v>
      </c>
      <c r="E22" s="14">
        <v>20</v>
      </c>
      <c r="F22" s="14">
        <v>18</v>
      </c>
      <c r="G22" s="14">
        <v>2</v>
      </c>
      <c r="H22" s="16">
        <f t="shared" si="3"/>
        <v>44</v>
      </c>
      <c r="I22" s="17">
        <f t="shared" si="4"/>
        <v>22022000</v>
      </c>
      <c r="J22" s="18">
        <f t="shared" si="5"/>
        <v>847</v>
      </c>
      <c r="K22" s="14">
        <v>1</v>
      </c>
      <c r="L22" s="19" t="s">
        <v>397</v>
      </c>
    </row>
    <row r="23" spans="2:12" ht="38" customHeight="1" x14ac:dyDescent="0.2">
      <c r="B23" s="100"/>
      <c r="C23" s="13" t="s">
        <v>398</v>
      </c>
      <c r="D23" s="14">
        <v>4</v>
      </c>
      <c r="E23" s="14">
        <v>20</v>
      </c>
      <c r="F23" s="14">
        <v>22</v>
      </c>
      <c r="G23" s="14">
        <v>2</v>
      </c>
      <c r="H23" s="16">
        <f t="shared" si="3"/>
        <v>48</v>
      </c>
      <c r="I23" s="17">
        <f t="shared" si="4"/>
        <v>24024000</v>
      </c>
      <c r="J23" s="18">
        <f t="shared" si="5"/>
        <v>924</v>
      </c>
      <c r="K23" s="14">
        <v>1</v>
      </c>
      <c r="L23" s="19" t="s">
        <v>399</v>
      </c>
    </row>
    <row r="24" spans="2:12" ht="38" customHeight="1" x14ac:dyDescent="0.2">
      <c r="B24" s="100"/>
      <c r="C24" s="13" t="s">
        <v>400</v>
      </c>
      <c r="D24" s="14">
        <v>2</v>
      </c>
      <c r="E24" s="14">
        <v>14</v>
      </c>
      <c r="F24" s="14">
        <v>18</v>
      </c>
      <c r="G24" s="14">
        <v>2</v>
      </c>
      <c r="H24" s="16">
        <f t="shared" si="3"/>
        <v>36</v>
      </c>
      <c r="I24" s="17">
        <f t="shared" si="4"/>
        <v>18018000</v>
      </c>
      <c r="J24" s="18">
        <f t="shared" si="5"/>
        <v>693</v>
      </c>
      <c r="K24" s="14">
        <v>1</v>
      </c>
      <c r="L24" s="15"/>
    </row>
    <row r="25" spans="2:12" ht="38" customHeight="1" x14ac:dyDescent="0.2">
      <c r="B25" s="100"/>
      <c r="C25" s="13" t="s">
        <v>401</v>
      </c>
      <c r="D25" s="14">
        <v>2</v>
      </c>
      <c r="E25" s="14">
        <v>12</v>
      </c>
      <c r="F25" s="14">
        <v>12</v>
      </c>
      <c r="G25" s="14">
        <v>2</v>
      </c>
      <c r="H25" s="16">
        <f t="shared" si="3"/>
        <v>28</v>
      </c>
      <c r="I25" s="17">
        <f t="shared" si="4"/>
        <v>14014000</v>
      </c>
      <c r="J25" s="18">
        <f t="shared" si="5"/>
        <v>539</v>
      </c>
      <c r="K25" s="14">
        <v>1</v>
      </c>
      <c r="L25" s="15"/>
    </row>
    <row r="26" spans="2:12" ht="38" customHeight="1" x14ac:dyDescent="0.2">
      <c r="B26" s="100"/>
      <c r="C26" s="13" t="s">
        <v>402</v>
      </c>
      <c r="D26" s="14">
        <v>2</v>
      </c>
      <c r="E26" s="14">
        <v>12</v>
      </c>
      <c r="F26" s="14">
        <v>14</v>
      </c>
      <c r="G26" s="14">
        <v>2</v>
      </c>
      <c r="H26" s="16">
        <f t="shared" si="3"/>
        <v>30</v>
      </c>
      <c r="I26" s="17">
        <f t="shared" si="4"/>
        <v>15015000</v>
      </c>
      <c r="J26" s="18">
        <f t="shared" si="5"/>
        <v>577.5</v>
      </c>
      <c r="K26" s="14">
        <v>1</v>
      </c>
      <c r="L26" s="15"/>
    </row>
    <row r="27" spans="2:12" ht="38" customHeight="1" x14ac:dyDescent="0.2">
      <c r="B27" s="100"/>
      <c r="C27" s="13" t="s">
        <v>403</v>
      </c>
      <c r="D27" s="14">
        <v>2</v>
      </c>
      <c r="E27" s="14">
        <v>14</v>
      </c>
      <c r="F27" s="14">
        <v>18</v>
      </c>
      <c r="G27" s="14">
        <v>2</v>
      </c>
      <c r="H27" s="16">
        <f t="shared" si="3"/>
        <v>36</v>
      </c>
      <c r="I27" s="17">
        <f t="shared" si="4"/>
        <v>18018000</v>
      </c>
      <c r="J27" s="18">
        <f t="shared" si="5"/>
        <v>693</v>
      </c>
      <c r="K27" s="14">
        <v>1</v>
      </c>
      <c r="L27" s="19" t="s">
        <v>404</v>
      </c>
    </row>
    <row r="28" spans="2:12" ht="38" customHeight="1" x14ac:dyDescent="0.2">
      <c r="B28" s="100"/>
      <c r="C28" s="13" t="s">
        <v>405</v>
      </c>
      <c r="D28" s="14">
        <v>2</v>
      </c>
      <c r="E28" s="14">
        <v>10</v>
      </c>
      <c r="F28" s="14">
        <v>22</v>
      </c>
      <c r="G28" s="14">
        <v>2</v>
      </c>
      <c r="H28" s="16">
        <f t="shared" si="3"/>
        <v>36</v>
      </c>
      <c r="I28" s="17">
        <f t="shared" si="4"/>
        <v>18018000</v>
      </c>
      <c r="J28" s="18">
        <f t="shared" si="5"/>
        <v>693</v>
      </c>
      <c r="K28" s="14">
        <v>1</v>
      </c>
      <c r="L28" s="19" t="s">
        <v>406</v>
      </c>
    </row>
    <row r="29" spans="2:12" ht="38" customHeight="1" x14ac:dyDescent="0.2">
      <c r="B29" s="101"/>
      <c r="C29" s="13" t="s">
        <v>407</v>
      </c>
      <c r="D29" s="15"/>
      <c r="E29" s="14">
        <v>8</v>
      </c>
      <c r="F29" s="14">
        <v>8</v>
      </c>
      <c r="G29" s="14">
        <v>1</v>
      </c>
      <c r="H29" s="16">
        <f t="shared" si="3"/>
        <v>17</v>
      </c>
      <c r="I29" s="21" t="s">
        <v>29</v>
      </c>
      <c r="J29" s="21" t="s">
        <v>29</v>
      </c>
      <c r="K29" s="22" t="s">
        <v>408</v>
      </c>
      <c r="L29" s="19" t="s">
        <v>409</v>
      </c>
    </row>
    <row r="30" spans="2:12" ht="38" customHeight="1" x14ac:dyDescent="0.2">
      <c r="B30" s="99" t="s">
        <v>410</v>
      </c>
      <c r="C30" s="13" t="s">
        <v>411</v>
      </c>
      <c r="D30" s="14">
        <v>6</v>
      </c>
      <c r="E30" s="15"/>
      <c r="F30" s="14">
        <v>32</v>
      </c>
      <c r="G30" s="14">
        <v>4</v>
      </c>
      <c r="H30" s="16">
        <f t="shared" si="3"/>
        <v>42</v>
      </c>
      <c r="I30" s="17">
        <f t="shared" ref="I30:I39" si="6">H30*19.25*26000*K30</f>
        <v>21021000</v>
      </c>
      <c r="J30" s="18">
        <f t="shared" ref="J30:J39" si="7">I30/26000</f>
        <v>808.5</v>
      </c>
      <c r="K30" s="14">
        <v>1</v>
      </c>
      <c r="L30" s="19" t="s">
        <v>412</v>
      </c>
    </row>
    <row r="31" spans="2:12" ht="38" customHeight="1" x14ac:dyDescent="0.2">
      <c r="B31" s="100"/>
      <c r="C31" s="13" t="s">
        <v>206</v>
      </c>
      <c r="D31" s="14">
        <v>8</v>
      </c>
      <c r="E31" s="15"/>
      <c r="F31" s="14">
        <v>40</v>
      </c>
      <c r="G31" s="14">
        <v>6</v>
      </c>
      <c r="H31" s="16">
        <f t="shared" si="3"/>
        <v>54</v>
      </c>
      <c r="I31" s="17">
        <f t="shared" si="6"/>
        <v>27027000</v>
      </c>
      <c r="J31" s="18">
        <f t="shared" si="7"/>
        <v>1039.5</v>
      </c>
      <c r="K31" s="14">
        <v>1</v>
      </c>
      <c r="L31" s="19" t="s">
        <v>413</v>
      </c>
    </row>
    <row r="32" spans="2:12" ht="38" customHeight="1" x14ac:dyDescent="0.2">
      <c r="B32" s="100"/>
      <c r="C32" s="13" t="s">
        <v>414</v>
      </c>
      <c r="D32" s="14">
        <v>2</v>
      </c>
      <c r="E32" s="14">
        <v>6</v>
      </c>
      <c r="F32" s="14">
        <v>12</v>
      </c>
      <c r="G32" s="14">
        <v>2</v>
      </c>
      <c r="H32" s="16">
        <f t="shared" si="3"/>
        <v>22</v>
      </c>
      <c r="I32" s="17">
        <f t="shared" si="6"/>
        <v>11011000</v>
      </c>
      <c r="J32" s="18">
        <f t="shared" si="7"/>
        <v>423.5</v>
      </c>
      <c r="K32" s="14">
        <v>1</v>
      </c>
      <c r="L32" s="19" t="s">
        <v>415</v>
      </c>
    </row>
    <row r="33" spans="2:12" ht="38" customHeight="1" x14ac:dyDescent="0.2">
      <c r="B33" s="101"/>
      <c r="C33" s="13" t="s">
        <v>416</v>
      </c>
      <c r="D33" s="14">
        <v>2</v>
      </c>
      <c r="E33" s="15"/>
      <c r="F33" s="14">
        <v>10</v>
      </c>
      <c r="G33" s="14">
        <v>2</v>
      </c>
      <c r="H33" s="16">
        <f t="shared" si="3"/>
        <v>14</v>
      </c>
      <c r="I33" s="17">
        <f t="shared" si="6"/>
        <v>7007000</v>
      </c>
      <c r="J33" s="18">
        <f t="shared" si="7"/>
        <v>269.5</v>
      </c>
      <c r="K33" s="14">
        <v>1</v>
      </c>
      <c r="L33" s="19" t="s">
        <v>417</v>
      </c>
    </row>
    <row r="34" spans="2:12" ht="38" customHeight="1" x14ac:dyDescent="0.2">
      <c r="B34" s="50" t="s">
        <v>418</v>
      </c>
      <c r="C34" s="13" t="s">
        <v>419</v>
      </c>
      <c r="D34" s="14">
        <v>4</v>
      </c>
      <c r="E34" s="14">
        <v>8</v>
      </c>
      <c r="F34" s="14">
        <v>36</v>
      </c>
      <c r="G34" s="14">
        <v>4</v>
      </c>
      <c r="H34" s="16">
        <f t="shared" si="3"/>
        <v>52</v>
      </c>
      <c r="I34" s="17">
        <f t="shared" si="6"/>
        <v>26026000</v>
      </c>
      <c r="J34" s="18">
        <f t="shared" si="7"/>
        <v>1001</v>
      </c>
      <c r="K34" s="14">
        <v>1</v>
      </c>
      <c r="L34" s="19" t="s">
        <v>420</v>
      </c>
    </row>
    <row r="35" spans="2:12" ht="38" customHeight="1" x14ac:dyDescent="0.2">
      <c r="B35" s="99" t="s">
        <v>421</v>
      </c>
      <c r="C35" s="13" t="s">
        <v>422</v>
      </c>
      <c r="D35" s="14">
        <v>12</v>
      </c>
      <c r="E35" s="15"/>
      <c r="F35" s="14">
        <v>28</v>
      </c>
      <c r="G35" s="14">
        <v>6</v>
      </c>
      <c r="H35" s="16">
        <f t="shared" si="3"/>
        <v>46</v>
      </c>
      <c r="I35" s="21" t="s">
        <v>29</v>
      </c>
      <c r="J35" s="21" t="s">
        <v>29</v>
      </c>
      <c r="K35" s="14">
        <v>1</v>
      </c>
      <c r="L35" s="19" t="s">
        <v>423</v>
      </c>
    </row>
    <row r="36" spans="2:12" ht="38" customHeight="1" x14ac:dyDescent="0.2">
      <c r="B36" s="100"/>
      <c r="C36" s="13" t="s">
        <v>424</v>
      </c>
      <c r="D36" s="14">
        <v>8</v>
      </c>
      <c r="E36" s="15"/>
      <c r="F36" s="14">
        <v>12</v>
      </c>
      <c r="G36" s="14">
        <v>2</v>
      </c>
      <c r="H36" s="16">
        <f t="shared" si="3"/>
        <v>22</v>
      </c>
      <c r="I36" s="17">
        <f t="shared" si="6"/>
        <v>11011000</v>
      </c>
      <c r="J36" s="18">
        <f t="shared" si="7"/>
        <v>423.5</v>
      </c>
      <c r="K36" s="14">
        <v>1</v>
      </c>
      <c r="L36" s="19" t="s">
        <v>425</v>
      </c>
    </row>
    <row r="37" spans="2:12" ht="38" customHeight="1" x14ac:dyDescent="0.2">
      <c r="B37" s="100"/>
      <c r="C37" s="13" t="s">
        <v>239</v>
      </c>
      <c r="D37" s="14">
        <v>4</v>
      </c>
      <c r="E37" s="14">
        <v>8</v>
      </c>
      <c r="F37" s="14">
        <v>18</v>
      </c>
      <c r="G37" s="14">
        <v>2</v>
      </c>
      <c r="H37" s="16">
        <f t="shared" ref="H37:H62" si="8">SUM(D37:G37)</f>
        <v>32</v>
      </c>
      <c r="I37" s="17">
        <f t="shared" si="6"/>
        <v>16016000</v>
      </c>
      <c r="J37" s="18">
        <f t="shared" si="7"/>
        <v>616</v>
      </c>
      <c r="K37" s="14">
        <v>1</v>
      </c>
      <c r="L37" s="19" t="s">
        <v>426</v>
      </c>
    </row>
    <row r="38" spans="2:12" ht="38" customHeight="1" x14ac:dyDescent="0.2">
      <c r="B38" s="100"/>
      <c r="C38" s="13" t="s">
        <v>243</v>
      </c>
      <c r="D38" s="14">
        <v>4</v>
      </c>
      <c r="E38" s="14">
        <v>8</v>
      </c>
      <c r="F38" s="14">
        <v>22</v>
      </c>
      <c r="G38" s="14">
        <v>2</v>
      </c>
      <c r="H38" s="16">
        <f t="shared" si="8"/>
        <v>36</v>
      </c>
      <c r="I38" s="17">
        <f t="shared" si="6"/>
        <v>18018000</v>
      </c>
      <c r="J38" s="18">
        <f t="shared" si="7"/>
        <v>693</v>
      </c>
      <c r="K38" s="14">
        <v>1</v>
      </c>
      <c r="L38" s="19" t="s">
        <v>427</v>
      </c>
    </row>
    <row r="39" spans="2:12" ht="38" customHeight="1" x14ac:dyDescent="0.2">
      <c r="B39" s="100"/>
      <c r="C39" s="13" t="s">
        <v>428</v>
      </c>
      <c r="D39" s="14">
        <v>2</v>
      </c>
      <c r="E39" s="14">
        <v>4</v>
      </c>
      <c r="F39" s="14">
        <v>12</v>
      </c>
      <c r="G39" s="14">
        <v>2</v>
      </c>
      <c r="H39" s="16">
        <f t="shared" si="8"/>
        <v>20</v>
      </c>
      <c r="I39" s="17">
        <f t="shared" si="6"/>
        <v>10010000</v>
      </c>
      <c r="J39" s="18">
        <f t="shared" si="7"/>
        <v>385</v>
      </c>
      <c r="K39" s="14">
        <v>1</v>
      </c>
      <c r="L39" s="19" t="s">
        <v>429</v>
      </c>
    </row>
    <row r="40" spans="2:12" ht="38" customHeight="1" x14ac:dyDescent="0.2">
      <c r="B40" s="101"/>
      <c r="C40" s="13" t="s">
        <v>430</v>
      </c>
      <c r="D40" s="14">
        <v>8</v>
      </c>
      <c r="E40" s="15"/>
      <c r="F40" s="14">
        <v>12</v>
      </c>
      <c r="G40" s="14">
        <v>2</v>
      </c>
      <c r="H40" s="16">
        <f t="shared" si="8"/>
        <v>22</v>
      </c>
      <c r="I40" s="21" t="s">
        <v>29</v>
      </c>
      <c r="J40" s="21" t="s">
        <v>29</v>
      </c>
      <c r="K40" s="22" t="s">
        <v>408</v>
      </c>
      <c r="L40" s="19" t="s">
        <v>431</v>
      </c>
    </row>
    <row r="41" spans="2:12" ht="38" customHeight="1" x14ac:dyDescent="0.2">
      <c r="B41" s="99" t="s">
        <v>432</v>
      </c>
      <c r="C41" s="13" t="s">
        <v>252</v>
      </c>
      <c r="D41" s="14">
        <v>4</v>
      </c>
      <c r="E41" s="15"/>
      <c r="F41" s="14">
        <v>20</v>
      </c>
      <c r="G41" s="14">
        <v>2</v>
      </c>
      <c r="H41" s="16">
        <f t="shared" si="8"/>
        <v>26</v>
      </c>
      <c r="I41" s="17">
        <f t="shared" ref="I41:I51" si="9">H41*19.25*26000*K41</f>
        <v>13013000</v>
      </c>
      <c r="J41" s="18">
        <f t="shared" ref="J41:J51" si="10">I41/26000</f>
        <v>500.5</v>
      </c>
      <c r="K41" s="14">
        <v>1</v>
      </c>
      <c r="L41" s="19" t="s">
        <v>433</v>
      </c>
    </row>
    <row r="42" spans="2:12" ht="38" customHeight="1" x14ac:dyDescent="0.2">
      <c r="B42" s="100"/>
      <c r="C42" s="13" t="s">
        <v>434</v>
      </c>
      <c r="D42" s="14">
        <v>2</v>
      </c>
      <c r="E42" s="15"/>
      <c r="F42" s="14">
        <v>14</v>
      </c>
      <c r="G42" s="14">
        <v>2</v>
      </c>
      <c r="H42" s="16">
        <f t="shared" si="8"/>
        <v>18</v>
      </c>
      <c r="I42" s="17">
        <f t="shared" si="9"/>
        <v>9009000</v>
      </c>
      <c r="J42" s="18">
        <f t="shared" si="10"/>
        <v>346.5</v>
      </c>
      <c r="K42" s="14">
        <v>1</v>
      </c>
      <c r="L42" s="19" t="s">
        <v>435</v>
      </c>
    </row>
    <row r="43" spans="2:12" ht="38" customHeight="1" x14ac:dyDescent="0.2">
      <c r="B43" s="100"/>
      <c r="C43" s="13" t="s">
        <v>436</v>
      </c>
      <c r="D43" s="14">
        <v>3</v>
      </c>
      <c r="E43" s="15"/>
      <c r="F43" s="14">
        <v>14</v>
      </c>
      <c r="G43" s="14">
        <v>2</v>
      </c>
      <c r="H43" s="16">
        <f t="shared" si="8"/>
        <v>19</v>
      </c>
      <c r="I43" s="17">
        <f t="shared" si="9"/>
        <v>9509500</v>
      </c>
      <c r="J43" s="18">
        <f t="shared" si="10"/>
        <v>365.75</v>
      </c>
      <c r="K43" s="14">
        <v>1</v>
      </c>
      <c r="L43" s="19" t="s">
        <v>437</v>
      </c>
    </row>
    <row r="44" spans="2:12" ht="38" customHeight="1" x14ac:dyDescent="0.2">
      <c r="B44" s="100"/>
      <c r="C44" s="13" t="s">
        <v>438</v>
      </c>
      <c r="D44" s="14">
        <v>1</v>
      </c>
      <c r="E44" s="15"/>
      <c r="F44" s="14">
        <v>6</v>
      </c>
      <c r="G44" s="14">
        <v>1</v>
      </c>
      <c r="H44" s="16">
        <f t="shared" si="8"/>
        <v>8</v>
      </c>
      <c r="I44" s="17">
        <f t="shared" si="9"/>
        <v>4004000</v>
      </c>
      <c r="J44" s="18">
        <f t="shared" si="10"/>
        <v>154</v>
      </c>
      <c r="K44" s="14">
        <v>1</v>
      </c>
      <c r="L44" s="15"/>
    </row>
    <row r="45" spans="2:12" ht="38" customHeight="1" x14ac:dyDescent="0.2">
      <c r="B45" s="101"/>
      <c r="C45" s="13" t="s">
        <v>439</v>
      </c>
      <c r="D45" s="14">
        <v>8</v>
      </c>
      <c r="E45" s="15"/>
      <c r="F45" s="14">
        <v>16</v>
      </c>
      <c r="G45" s="14">
        <v>4</v>
      </c>
      <c r="H45" s="16">
        <f t="shared" si="8"/>
        <v>28</v>
      </c>
      <c r="I45" s="17">
        <f t="shared" si="9"/>
        <v>14014000</v>
      </c>
      <c r="J45" s="18">
        <f t="shared" si="10"/>
        <v>539</v>
      </c>
      <c r="K45" s="14">
        <v>1</v>
      </c>
      <c r="L45" s="19" t="s">
        <v>440</v>
      </c>
    </row>
    <row r="46" spans="2:12" ht="38" customHeight="1" x14ac:dyDescent="0.2">
      <c r="B46" s="99" t="s">
        <v>441</v>
      </c>
      <c r="C46" s="13" t="s">
        <v>273</v>
      </c>
      <c r="D46" s="14">
        <v>2</v>
      </c>
      <c r="E46" s="14">
        <v>4</v>
      </c>
      <c r="F46" s="14">
        <v>24</v>
      </c>
      <c r="G46" s="14">
        <v>3</v>
      </c>
      <c r="H46" s="16">
        <f t="shared" si="8"/>
        <v>33</v>
      </c>
      <c r="I46" s="17">
        <f t="shared" si="9"/>
        <v>16516500</v>
      </c>
      <c r="J46" s="18">
        <f t="shared" si="10"/>
        <v>635.25</v>
      </c>
      <c r="K46" s="14">
        <v>1</v>
      </c>
      <c r="L46" s="19" t="s">
        <v>442</v>
      </c>
    </row>
    <row r="47" spans="2:12" ht="38" customHeight="1" x14ac:dyDescent="0.2">
      <c r="B47" s="100"/>
      <c r="C47" s="13" t="s">
        <v>277</v>
      </c>
      <c r="D47" s="14">
        <v>4</v>
      </c>
      <c r="E47" s="14">
        <v>6</v>
      </c>
      <c r="F47" s="14">
        <v>18</v>
      </c>
      <c r="G47" s="14">
        <v>3</v>
      </c>
      <c r="H47" s="16">
        <f t="shared" si="8"/>
        <v>31</v>
      </c>
      <c r="I47" s="17">
        <f t="shared" si="9"/>
        <v>15515500</v>
      </c>
      <c r="J47" s="18">
        <f t="shared" si="10"/>
        <v>596.75</v>
      </c>
      <c r="K47" s="14">
        <v>1</v>
      </c>
      <c r="L47" s="19" t="s">
        <v>443</v>
      </c>
    </row>
    <row r="48" spans="2:12" ht="38" customHeight="1" x14ac:dyDescent="0.2">
      <c r="B48" s="101"/>
      <c r="C48" s="13" t="s">
        <v>444</v>
      </c>
      <c r="D48" s="14">
        <v>2</v>
      </c>
      <c r="E48" s="14">
        <v>8</v>
      </c>
      <c r="F48" s="14">
        <v>12</v>
      </c>
      <c r="G48" s="14">
        <v>2</v>
      </c>
      <c r="H48" s="16">
        <f t="shared" si="8"/>
        <v>24</v>
      </c>
      <c r="I48" s="17">
        <f t="shared" si="9"/>
        <v>12012000</v>
      </c>
      <c r="J48" s="18">
        <f t="shared" si="10"/>
        <v>462</v>
      </c>
      <c r="K48" s="14">
        <v>1</v>
      </c>
      <c r="L48" s="19" t="s">
        <v>445</v>
      </c>
    </row>
    <row r="49" spans="2:12" ht="38" customHeight="1" x14ac:dyDescent="0.2">
      <c r="B49" s="99" t="s">
        <v>446</v>
      </c>
      <c r="C49" s="13" t="s">
        <v>289</v>
      </c>
      <c r="D49" s="14">
        <v>3</v>
      </c>
      <c r="E49" s="15"/>
      <c r="F49" s="14">
        <v>18</v>
      </c>
      <c r="G49" s="14">
        <v>3</v>
      </c>
      <c r="H49" s="16">
        <f t="shared" si="8"/>
        <v>24</v>
      </c>
      <c r="I49" s="17">
        <f t="shared" si="9"/>
        <v>12012000</v>
      </c>
      <c r="J49" s="18">
        <f t="shared" si="10"/>
        <v>462</v>
      </c>
      <c r="K49" s="14">
        <v>1</v>
      </c>
      <c r="L49" s="19" t="s">
        <v>447</v>
      </c>
    </row>
    <row r="50" spans="2:12" ht="38" customHeight="1" x14ac:dyDescent="0.2">
      <c r="B50" s="100"/>
      <c r="C50" s="13" t="s">
        <v>448</v>
      </c>
      <c r="D50" s="14">
        <v>1</v>
      </c>
      <c r="E50" s="15"/>
      <c r="F50" s="14">
        <v>8</v>
      </c>
      <c r="G50" s="14">
        <v>2</v>
      </c>
      <c r="H50" s="16">
        <f t="shared" si="8"/>
        <v>11</v>
      </c>
      <c r="I50" s="17">
        <f t="shared" si="9"/>
        <v>5505500</v>
      </c>
      <c r="J50" s="18">
        <f t="shared" si="10"/>
        <v>211.75</v>
      </c>
      <c r="K50" s="14">
        <v>1</v>
      </c>
      <c r="L50" s="15"/>
    </row>
    <row r="51" spans="2:12" ht="38" customHeight="1" x14ac:dyDescent="0.2">
      <c r="B51" s="100"/>
      <c r="C51" s="13" t="s">
        <v>449</v>
      </c>
      <c r="D51" s="14">
        <v>3</v>
      </c>
      <c r="E51" s="14">
        <v>4</v>
      </c>
      <c r="F51" s="14">
        <v>14</v>
      </c>
      <c r="G51" s="14">
        <v>2</v>
      </c>
      <c r="H51" s="16">
        <f t="shared" si="8"/>
        <v>23</v>
      </c>
      <c r="I51" s="17">
        <f t="shared" si="9"/>
        <v>11511500</v>
      </c>
      <c r="J51" s="18">
        <f t="shared" si="10"/>
        <v>442.75</v>
      </c>
      <c r="K51" s="14">
        <v>1</v>
      </c>
      <c r="L51" s="19" t="s">
        <v>450</v>
      </c>
    </row>
    <row r="52" spans="2:12" ht="38" customHeight="1" x14ac:dyDescent="0.2">
      <c r="B52" s="100"/>
      <c r="C52" s="13" t="s">
        <v>451</v>
      </c>
      <c r="D52" s="14">
        <v>2</v>
      </c>
      <c r="E52" s="15"/>
      <c r="F52" s="14">
        <v>10</v>
      </c>
      <c r="G52" s="14">
        <v>2</v>
      </c>
      <c r="H52" s="16">
        <f t="shared" si="8"/>
        <v>14</v>
      </c>
      <c r="I52" s="21" t="s">
        <v>29</v>
      </c>
      <c r="J52" s="21" t="s">
        <v>29</v>
      </c>
      <c r="K52" s="22" t="s">
        <v>408</v>
      </c>
      <c r="L52" s="19" t="s">
        <v>452</v>
      </c>
    </row>
    <row r="53" spans="2:12" ht="38" customHeight="1" x14ac:dyDescent="0.2">
      <c r="B53" s="101"/>
      <c r="C53" s="13" t="s">
        <v>453</v>
      </c>
      <c r="D53" s="14">
        <v>2</v>
      </c>
      <c r="E53" s="15"/>
      <c r="F53" s="14">
        <v>12</v>
      </c>
      <c r="G53" s="14">
        <v>2</v>
      </c>
      <c r="H53" s="16">
        <f t="shared" si="8"/>
        <v>16</v>
      </c>
      <c r="I53" s="21" t="s">
        <v>29</v>
      </c>
      <c r="J53" s="21" t="s">
        <v>29</v>
      </c>
      <c r="K53" s="22" t="s">
        <v>408</v>
      </c>
      <c r="L53" s="19" t="s">
        <v>454</v>
      </c>
    </row>
    <row r="54" spans="2:12" ht="38" customHeight="1" x14ac:dyDescent="0.2">
      <c r="B54" s="20" t="s">
        <v>455</v>
      </c>
      <c r="C54" s="13" t="s">
        <v>456</v>
      </c>
      <c r="D54" s="14">
        <v>6</v>
      </c>
      <c r="E54" s="15"/>
      <c r="F54" s="14">
        <v>36</v>
      </c>
      <c r="G54" s="14">
        <v>6</v>
      </c>
      <c r="H54" s="16">
        <f t="shared" si="8"/>
        <v>48</v>
      </c>
      <c r="I54" s="17">
        <f t="shared" ref="I54:I58" si="11">H54*19.25*26000*K54</f>
        <v>24024000</v>
      </c>
      <c r="J54" s="18">
        <f t="shared" ref="J54:J58" si="12">I54/26000</f>
        <v>924</v>
      </c>
      <c r="K54" s="14">
        <v>1</v>
      </c>
      <c r="L54" s="19" t="s">
        <v>457</v>
      </c>
    </row>
    <row r="55" spans="2:12" ht="38" customHeight="1" x14ac:dyDescent="0.2">
      <c r="B55" s="20" t="s">
        <v>458</v>
      </c>
      <c r="C55" s="13" t="s">
        <v>459</v>
      </c>
      <c r="D55" s="14">
        <v>2</v>
      </c>
      <c r="E55" s="14">
        <v>4</v>
      </c>
      <c r="F55" s="14">
        <v>5</v>
      </c>
      <c r="G55" s="14">
        <v>2</v>
      </c>
      <c r="H55" s="16">
        <f t="shared" si="8"/>
        <v>13</v>
      </c>
      <c r="I55" s="17">
        <f t="shared" si="11"/>
        <v>6506500</v>
      </c>
      <c r="J55" s="18">
        <f t="shared" si="12"/>
        <v>250.25</v>
      </c>
      <c r="K55" s="14">
        <v>1</v>
      </c>
      <c r="L55" s="15"/>
    </row>
    <row r="56" spans="2:12" ht="38" customHeight="1" x14ac:dyDescent="0.2">
      <c r="B56" s="20" t="s">
        <v>460</v>
      </c>
      <c r="C56" s="13" t="s">
        <v>461</v>
      </c>
      <c r="D56" s="14">
        <v>4</v>
      </c>
      <c r="E56" s="15"/>
      <c r="F56" s="14">
        <v>20</v>
      </c>
      <c r="G56" s="14">
        <v>6</v>
      </c>
      <c r="H56" s="16">
        <f t="shared" si="8"/>
        <v>30</v>
      </c>
      <c r="I56" s="17">
        <f t="shared" si="11"/>
        <v>15015000</v>
      </c>
      <c r="J56" s="18">
        <f t="shared" si="12"/>
        <v>577.5</v>
      </c>
      <c r="K56" s="14">
        <v>1</v>
      </c>
      <c r="L56" s="19" t="s">
        <v>462</v>
      </c>
    </row>
    <row r="57" spans="2:12" ht="38" customHeight="1" x14ac:dyDescent="0.2">
      <c r="B57" s="99" t="s">
        <v>463</v>
      </c>
      <c r="C57" s="13" t="s">
        <v>641</v>
      </c>
      <c r="D57" s="14">
        <v>8</v>
      </c>
      <c r="E57" s="15"/>
      <c r="F57" s="14">
        <v>28</v>
      </c>
      <c r="G57" s="14">
        <v>4</v>
      </c>
      <c r="H57" s="16">
        <f t="shared" si="8"/>
        <v>40</v>
      </c>
      <c r="I57" s="17">
        <f t="shared" si="11"/>
        <v>20020000</v>
      </c>
      <c r="J57" s="18">
        <f t="shared" si="12"/>
        <v>770</v>
      </c>
      <c r="K57" s="14">
        <v>1</v>
      </c>
      <c r="L57" s="19" t="s">
        <v>464</v>
      </c>
    </row>
    <row r="58" spans="2:12" ht="38" customHeight="1" x14ac:dyDescent="0.2">
      <c r="B58" s="100"/>
      <c r="C58" s="13" t="s">
        <v>465</v>
      </c>
      <c r="D58" s="14">
        <v>8</v>
      </c>
      <c r="E58" s="15"/>
      <c r="F58" s="14">
        <v>16</v>
      </c>
      <c r="G58" s="14">
        <v>6</v>
      </c>
      <c r="H58" s="16">
        <f t="shared" si="8"/>
        <v>30</v>
      </c>
      <c r="I58" s="21" t="s">
        <v>29</v>
      </c>
      <c r="J58" s="21" t="s">
        <v>29</v>
      </c>
      <c r="K58" s="14">
        <v>1</v>
      </c>
      <c r="L58" s="15"/>
    </row>
    <row r="59" spans="2:12" ht="38" customHeight="1" x14ac:dyDescent="0.2">
      <c r="B59" s="101"/>
      <c r="C59" s="13" t="s">
        <v>337</v>
      </c>
      <c r="D59" s="14">
        <v>2</v>
      </c>
      <c r="E59" s="15"/>
      <c r="F59" s="14">
        <v>12</v>
      </c>
      <c r="G59" s="14">
        <v>4</v>
      </c>
      <c r="H59" s="16">
        <f t="shared" si="8"/>
        <v>18</v>
      </c>
      <c r="I59" s="21" t="s">
        <v>29</v>
      </c>
      <c r="J59" s="21" t="s">
        <v>29</v>
      </c>
      <c r="K59" s="22" t="s">
        <v>408</v>
      </c>
      <c r="L59" s="19" t="s">
        <v>466</v>
      </c>
    </row>
    <row r="60" spans="2:12" ht="38" customHeight="1" x14ac:dyDescent="0.2">
      <c r="B60" s="99" t="s">
        <v>467</v>
      </c>
      <c r="C60" s="13" t="s">
        <v>468</v>
      </c>
      <c r="D60" s="14">
        <v>4</v>
      </c>
      <c r="E60" s="15"/>
      <c r="F60" s="14">
        <v>6</v>
      </c>
      <c r="G60" s="14">
        <v>4</v>
      </c>
      <c r="H60" s="16">
        <f t="shared" si="8"/>
        <v>14</v>
      </c>
      <c r="I60" s="17">
        <f>H60*19.25*26000*K60</f>
        <v>7007000</v>
      </c>
      <c r="J60" s="18">
        <f>I60/26000</f>
        <v>269.5</v>
      </c>
      <c r="K60" s="14">
        <v>1</v>
      </c>
      <c r="L60" s="19" t="s">
        <v>469</v>
      </c>
    </row>
    <row r="61" spans="2:12" ht="38" customHeight="1" x14ac:dyDescent="0.2">
      <c r="B61" s="100"/>
      <c r="C61" s="13" t="s">
        <v>346</v>
      </c>
      <c r="D61" s="14">
        <v>8</v>
      </c>
      <c r="E61" s="14">
        <v>4</v>
      </c>
      <c r="F61" s="14">
        <v>4</v>
      </c>
      <c r="G61" s="14">
        <v>2</v>
      </c>
      <c r="H61" s="16">
        <f t="shared" si="8"/>
        <v>18</v>
      </c>
      <c r="I61" s="21" t="s">
        <v>29</v>
      </c>
      <c r="J61" s="21" t="s">
        <v>29</v>
      </c>
      <c r="K61" s="22" t="s">
        <v>408</v>
      </c>
      <c r="L61" s="19" t="s">
        <v>470</v>
      </c>
    </row>
    <row r="62" spans="2:12" ht="38" customHeight="1" x14ac:dyDescent="0.2">
      <c r="B62" s="101"/>
      <c r="C62" s="13" t="s">
        <v>471</v>
      </c>
      <c r="D62" s="14">
        <v>2</v>
      </c>
      <c r="E62" s="15"/>
      <c r="F62" s="14">
        <v>6</v>
      </c>
      <c r="G62" s="14">
        <v>2</v>
      </c>
      <c r="H62" s="16">
        <f t="shared" si="8"/>
        <v>10</v>
      </c>
      <c r="I62" s="21" t="s">
        <v>29</v>
      </c>
      <c r="J62" s="21" t="s">
        <v>29</v>
      </c>
      <c r="K62" s="22" t="s">
        <v>408</v>
      </c>
      <c r="L62" s="19" t="s">
        <v>472</v>
      </c>
    </row>
    <row r="64" spans="2:12" ht="26" customHeight="1" x14ac:dyDescent="0.2">
      <c r="B64" s="103" t="s">
        <v>473</v>
      </c>
      <c r="C64" s="64"/>
      <c r="D64" s="64"/>
      <c r="E64" s="64"/>
      <c r="F64" s="64"/>
      <c r="G64" s="64"/>
      <c r="H64" s="64"/>
      <c r="I64" s="23">
        <f>SUM(I9:I62)</f>
        <v>935434500</v>
      </c>
      <c r="J64" s="24">
        <f>I64/26000</f>
        <v>35978.25</v>
      </c>
      <c r="K64" s="105"/>
      <c r="L64" s="64"/>
    </row>
    <row r="65" spans="2:12" ht="22" customHeight="1" x14ac:dyDescent="0.2">
      <c r="B65" s="102" t="s">
        <v>650</v>
      </c>
      <c r="C65" s="64"/>
      <c r="D65" s="64"/>
      <c r="E65" s="64"/>
      <c r="F65" s="64"/>
      <c r="G65" s="64"/>
      <c r="H65" s="64"/>
      <c r="I65" s="26">
        <f>-I64*0.1</f>
        <v>-93543450</v>
      </c>
      <c r="J65" s="27">
        <f>I65/26000</f>
        <v>-3597.8249999999998</v>
      </c>
      <c r="K65" s="104"/>
      <c r="L65" s="64"/>
    </row>
    <row r="66" spans="2:12" ht="22" customHeight="1" x14ac:dyDescent="0.2">
      <c r="B66" s="107" t="s">
        <v>474</v>
      </c>
      <c r="C66" s="64"/>
      <c r="D66" s="64"/>
      <c r="E66" s="64"/>
      <c r="F66" s="64"/>
      <c r="G66" s="64"/>
      <c r="H66" s="64"/>
      <c r="I66" s="28" t="s">
        <v>649</v>
      </c>
      <c r="J66" s="29" t="e">
        <f>I66/26000</f>
        <v>#VALUE!</v>
      </c>
      <c r="K66" s="105"/>
      <c r="L66" s="64"/>
    </row>
    <row r="67" spans="2:12" ht="32" customHeight="1" x14ac:dyDescent="0.2">
      <c r="B67" s="110" t="s">
        <v>640</v>
      </c>
      <c r="C67" s="64"/>
      <c r="D67" s="64"/>
      <c r="E67" s="64"/>
      <c r="F67" s="64"/>
      <c r="G67" s="64"/>
      <c r="H67" s="64"/>
      <c r="I67" s="5">
        <f>I64+I65</f>
        <v>841891050</v>
      </c>
      <c r="J67" s="30">
        <f>I67/26000</f>
        <v>32380.424999999999</v>
      </c>
      <c r="K67" s="109"/>
      <c r="L67" s="64"/>
    </row>
    <row r="69" spans="2:12" ht="36" customHeight="1" x14ac:dyDescent="0.2">
      <c r="B69" s="108" t="s">
        <v>475</v>
      </c>
      <c r="C69" s="64"/>
      <c r="D69" s="64"/>
      <c r="E69" s="64"/>
      <c r="F69" s="64"/>
      <c r="G69" s="64"/>
      <c r="H69" s="64"/>
      <c r="I69" s="64"/>
      <c r="J69" s="64"/>
      <c r="K69" s="64"/>
      <c r="L69" s="64"/>
    </row>
  </sheetData>
  <mergeCells count="32">
    <mergeCell ref="B69:L69"/>
    <mergeCell ref="B21:B29"/>
    <mergeCell ref="B49:B53"/>
    <mergeCell ref="B60:B62"/>
    <mergeCell ref="B3:L3"/>
    <mergeCell ref="I7:I8"/>
    <mergeCell ref="B12:B13"/>
    <mergeCell ref="B57:B59"/>
    <mergeCell ref="B35:B40"/>
    <mergeCell ref="K66:L66"/>
    <mergeCell ref="K67:L67"/>
    <mergeCell ref="B67:H67"/>
    <mergeCell ref="B66:H66"/>
    <mergeCell ref="J7:J8"/>
    <mergeCell ref="B41:B45"/>
    <mergeCell ref="B46:B48"/>
    <mergeCell ref="B14:B18"/>
    <mergeCell ref="B1:L1"/>
    <mergeCell ref="D7:H7"/>
    <mergeCell ref="B9:B10"/>
    <mergeCell ref="B65:H65"/>
    <mergeCell ref="C7:C8"/>
    <mergeCell ref="B64:H64"/>
    <mergeCell ref="K65:L65"/>
    <mergeCell ref="K7:K8"/>
    <mergeCell ref="K64:L64"/>
    <mergeCell ref="B5:L5"/>
    <mergeCell ref="B7:B8"/>
    <mergeCell ref="L7:L8"/>
    <mergeCell ref="B19:B20"/>
    <mergeCell ref="B30:B33"/>
    <mergeCell ref="B2:L2"/>
  </mergeCells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19A5B"/>
  </sheetPr>
  <dimension ref="B1:F19"/>
  <sheetViews>
    <sheetView showGridLines="0" topLeftCell="A3" workbookViewId="0">
      <selection activeCell="D17" sqref="D17"/>
    </sheetView>
  </sheetViews>
  <sheetFormatPr baseColWidth="10" defaultColWidth="8.83203125" defaultRowHeight="15" x14ac:dyDescent="0.2"/>
  <cols>
    <col min="1" max="1" width="2" customWidth="1"/>
    <col min="2" max="2" width="24" customWidth="1"/>
    <col min="3" max="3" width="44" customWidth="1"/>
    <col min="4" max="4" width="18" customWidth="1"/>
    <col min="5" max="5" width="14" customWidth="1"/>
    <col min="6" max="6" width="48" customWidth="1"/>
    <col min="7" max="7" width="2" customWidth="1"/>
  </cols>
  <sheetData>
    <row r="1" spans="2:6" ht="24" customHeight="1" x14ac:dyDescent="0.2">
      <c r="B1" s="92" t="s">
        <v>34</v>
      </c>
      <c r="C1" s="64"/>
      <c r="D1" s="64"/>
      <c r="E1" s="64"/>
      <c r="F1" s="64"/>
    </row>
    <row r="2" spans="2:6" ht="4" customHeight="1" x14ac:dyDescent="0.2">
      <c r="B2" s="95"/>
      <c r="C2" s="64"/>
      <c r="D2" s="64"/>
      <c r="E2" s="64"/>
      <c r="F2" s="64"/>
    </row>
    <row r="3" spans="2:6" ht="32" customHeight="1" x14ac:dyDescent="0.2">
      <c r="B3" s="94" t="s">
        <v>476</v>
      </c>
      <c r="C3" s="64"/>
      <c r="D3" s="64"/>
      <c r="E3" s="64"/>
      <c r="F3" s="64"/>
    </row>
    <row r="5" spans="2:6" ht="36" customHeight="1" x14ac:dyDescent="0.2">
      <c r="B5" s="106" t="s">
        <v>477</v>
      </c>
      <c r="C5" s="64"/>
      <c r="D5" s="64"/>
      <c r="E5" s="64"/>
      <c r="F5" s="64"/>
    </row>
    <row r="7" spans="2:6" ht="22" customHeight="1" x14ac:dyDescent="0.2">
      <c r="B7" s="4" t="s">
        <v>360</v>
      </c>
      <c r="C7" s="4" t="s">
        <v>478</v>
      </c>
      <c r="D7" s="4" t="s">
        <v>363</v>
      </c>
      <c r="E7" s="4" t="s">
        <v>479</v>
      </c>
      <c r="F7" s="4" t="s">
        <v>480</v>
      </c>
    </row>
    <row r="8" spans="2:6" ht="38" customHeight="1" x14ac:dyDescent="0.2">
      <c r="B8" s="99" t="s">
        <v>481</v>
      </c>
      <c r="C8" s="32" t="s">
        <v>482</v>
      </c>
      <c r="D8" s="17">
        <f>2400000*12</f>
        <v>28800000</v>
      </c>
      <c r="E8" s="6" t="s">
        <v>109</v>
      </c>
      <c r="F8" s="19" t="s">
        <v>638</v>
      </c>
    </row>
    <row r="9" spans="2:6" ht="38" customHeight="1" x14ac:dyDescent="0.2">
      <c r="B9" s="100"/>
      <c r="C9" s="32" t="s">
        <v>483</v>
      </c>
      <c r="D9" s="17">
        <f>600000*12</f>
        <v>7200000</v>
      </c>
      <c r="E9" s="6" t="s">
        <v>109</v>
      </c>
      <c r="F9" s="19" t="s">
        <v>484</v>
      </c>
    </row>
    <row r="10" spans="2:6" ht="38" customHeight="1" x14ac:dyDescent="0.2">
      <c r="B10" s="100"/>
      <c r="C10" s="32" t="s">
        <v>485</v>
      </c>
      <c r="D10" s="17">
        <v>0</v>
      </c>
      <c r="E10" s="6" t="s">
        <v>109</v>
      </c>
      <c r="F10" s="19" t="s">
        <v>486</v>
      </c>
    </row>
    <row r="11" spans="2:6" ht="38" customHeight="1" x14ac:dyDescent="0.2">
      <c r="B11" s="101"/>
      <c r="C11" s="32" t="s">
        <v>487</v>
      </c>
      <c r="D11" s="17">
        <v>0</v>
      </c>
      <c r="E11" s="6" t="s">
        <v>109</v>
      </c>
      <c r="F11" s="19" t="s">
        <v>488</v>
      </c>
    </row>
    <row r="12" spans="2:6" ht="160" customHeight="1" x14ac:dyDescent="0.2">
      <c r="B12" s="12" t="s">
        <v>489</v>
      </c>
      <c r="C12" s="32" t="s">
        <v>639</v>
      </c>
      <c r="D12" s="17">
        <f>2200000*12</f>
        <v>26400000</v>
      </c>
      <c r="E12" s="6" t="s">
        <v>109</v>
      </c>
      <c r="F12" s="19" t="s">
        <v>490</v>
      </c>
    </row>
    <row r="13" spans="2:6" ht="38" customHeight="1" x14ac:dyDescent="0.2">
      <c r="B13" s="12" t="s">
        <v>491</v>
      </c>
      <c r="C13" s="32" t="s">
        <v>492</v>
      </c>
      <c r="D13" s="33" t="s">
        <v>493</v>
      </c>
      <c r="E13" s="21" t="s">
        <v>29</v>
      </c>
      <c r="F13" s="19" t="s">
        <v>494</v>
      </c>
    </row>
    <row r="15" spans="2:6" ht="24" customHeight="1" x14ac:dyDescent="0.2">
      <c r="B15" s="116" t="s">
        <v>473</v>
      </c>
      <c r="C15" s="112"/>
      <c r="D15" s="60">
        <f>SUM(D8:D13)</f>
        <v>62400000</v>
      </c>
      <c r="E15" s="114"/>
      <c r="F15" s="112"/>
    </row>
    <row r="16" spans="2:6" ht="20" customHeight="1" x14ac:dyDescent="0.2">
      <c r="B16" s="111" t="s">
        <v>474</v>
      </c>
      <c r="C16" s="112"/>
      <c r="D16" s="61">
        <f>SUM(D8:D9)*0.1</f>
        <v>3600000</v>
      </c>
      <c r="E16" s="114"/>
      <c r="F16" s="112"/>
    </row>
    <row r="17" spans="2:6" ht="30" customHeight="1" x14ac:dyDescent="0.2">
      <c r="B17" s="113" t="s">
        <v>495</v>
      </c>
      <c r="C17" s="112"/>
      <c r="D17" s="62">
        <f>SUM(D15:D16)</f>
        <v>66000000</v>
      </c>
      <c r="E17" s="115"/>
      <c r="F17" s="112"/>
    </row>
    <row r="19" spans="2:6" ht="36" customHeight="1" x14ac:dyDescent="0.2">
      <c r="B19" s="108" t="s">
        <v>496</v>
      </c>
      <c r="C19" s="64"/>
      <c r="D19" s="64"/>
      <c r="E19" s="64"/>
      <c r="F19" s="64"/>
    </row>
  </sheetData>
  <mergeCells count="12">
    <mergeCell ref="B19:F19"/>
    <mergeCell ref="B3:F3"/>
    <mergeCell ref="B5:F5"/>
    <mergeCell ref="B1:F1"/>
    <mergeCell ref="B16:C16"/>
    <mergeCell ref="B17:C17"/>
    <mergeCell ref="E16:F16"/>
    <mergeCell ref="E17:F17"/>
    <mergeCell ref="B15:C15"/>
    <mergeCell ref="B2:F2"/>
    <mergeCell ref="B8:B11"/>
    <mergeCell ref="E15:F15"/>
  </mergeCells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E50"/>
  </sheetPr>
  <dimension ref="B1:W29"/>
  <sheetViews>
    <sheetView showGridLines="0" workbookViewId="0">
      <selection activeCell="Q6" sqref="Q6:T6"/>
    </sheetView>
  </sheetViews>
  <sheetFormatPr baseColWidth="10" defaultColWidth="8.83203125" defaultRowHeight="15" x14ac:dyDescent="0.2"/>
  <cols>
    <col min="1" max="1" width="2" customWidth="1"/>
    <col min="2" max="2" width="22" customWidth="1"/>
    <col min="3" max="22" width="4" customWidth="1"/>
    <col min="23" max="23" width="30" customWidth="1"/>
    <col min="24" max="24" width="2" customWidth="1"/>
  </cols>
  <sheetData>
    <row r="1" spans="2:23" ht="24" customHeight="1" x14ac:dyDescent="0.2">
      <c r="B1" s="92" t="s">
        <v>34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 spans="2:23" ht="4" customHeight="1" x14ac:dyDescent="0.2">
      <c r="B2" s="95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2:23" ht="32" customHeight="1" x14ac:dyDescent="0.2">
      <c r="B3" s="94" t="s">
        <v>497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</row>
    <row r="5" spans="2:23" ht="24" customHeight="1" x14ac:dyDescent="0.2">
      <c r="B5" s="4" t="s">
        <v>360</v>
      </c>
      <c r="C5" s="34" t="s">
        <v>498</v>
      </c>
      <c r="D5" s="34" t="s">
        <v>499</v>
      </c>
      <c r="E5" s="34" t="s">
        <v>500</v>
      </c>
      <c r="F5" s="34" t="s">
        <v>501</v>
      </c>
      <c r="G5" s="34" t="s">
        <v>502</v>
      </c>
      <c r="H5" s="34" t="s">
        <v>503</v>
      </c>
      <c r="I5" s="34" t="s">
        <v>504</v>
      </c>
      <c r="J5" s="34" t="s">
        <v>505</v>
      </c>
      <c r="K5" s="34" t="s">
        <v>506</v>
      </c>
      <c r="L5" s="34" t="s">
        <v>507</v>
      </c>
      <c r="M5" s="34" t="s">
        <v>508</v>
      </c>
      <c r="N5" s="34" t="s">
        <v>509</v>
      </c>
      <c r="O5" s="34" t="s">
        <v>510</v>
      </c>
      <c r="P5" s="34" t="s">
        <v>511</v>
      </c>
      <c r="Q5" s="34" t="s">
        <v>512</v>
      </c>
      <c r="R5" s="34" t="s">
        <v>513</v>
      </c>
      <c r="S5" s="34" t="s">
        <v>514</v>
      </c>
      <c r="T5" s="34" t="s">
        <v>515</v>
      </c>
      <c r="U5" s="34" t="s">
        <v>516</v>
      </c>
      <c r="V5" s="34" t="s">
        <v>517</v>
      </c>
      <c r="W5" s="4" t="s">
        <v>518</v>
      </c>
    </row>
    <row r="6" spans="2:23" ht="22" customHeight="1" x14ac:dyDescent="0.2">
      <c r="B6" s="35" t="s">
        <v>72</v>
      </c>
      <c r="C6" s="117" t="s">
        <v>519</v>
      </c>
      <c r="D6" s="64"/>
      <c r="E6" s="118" t="s">
        <v>520</v>
      </c>
      <c r="F6" s="64"/>
      <c r="G6" s="64"/>
      <c r="H6" s="64"/>
      <c r="I6" s="64"/>
      <c r="J6" s="64"/>
      <c r="K6" s="118" t="s">
        <v>521</v>
      </c>
      <c r="L6" s="64"/>
      <c r="M6" s="64"/>
      <c r="N6" s="64"/>
      <c r="O6" s="64"/>
      <c r="P6" s="64"/>
      <c r="Q6" s="120" t="s">
        <v>522</v>
      </c>
      <c r="R6" s="64"/>
      <c r="S6" s="64"/>
      <c r="T6" s="64"/>
      <c r="U6" s="119" t="s">
        <v>523</v>
      </c>
      <c r="V6" s="64"/>
      <c r="W6" s="25"/>
    </row>
    <row r="7" spans="2:23" ht="22" customHeight="1" x14ac:dyDescent="0.2">
      <c r="B7" s="13" t="s">
        <v>524</v>
      </c>
      <c r="C7" s="36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8" t="s">
        <v>525</v>
      </c>
    </row>
    <row r="8" spans="2:23" ht="22" customHeight="1" x14ac:dyDescent="0.2">
      <c r="B8" s="13" t="s">
        <v>526</v>
      </c>
      <c r="C8" s="36"/>
      <c r="D8" s="36"/>
      <c r="E8" s="36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8" t="s">
        <v>527</v>
      </c>
    </row>
    <row r="9" spans="2:23" ht="22" customHeight="1" x14ac:dyDescent="0.2">
      <c r="B9" s="13" t="s">
        <v>528</v>
      </c>
      <c r="C9" s="37"/>
      <c r="D9" s="36"/>
      <c r="E9" s="36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8" t="s">
        <v>529</v>
      </c>
    </row>
    <row r="10" spans="2:23" ht="22" customHeight="1" x14ac:dyDescent="0.2">
      <c r="B10" s="13" t="s">
        <v>530</v>
      </c>
      <c r="C10" s="37"/>
      <c r="D10" s="37"/>
      <c r="E10" s="39"/>
      <c r="F10" s="39"/>
      <c r="G10" s="39"/>
      <c r="H10" s="39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8" t="s">
        <v>531</v>
      </c>
    </row>
    <row r="11" spans="2:23" ht="22" customHeight="1" x14ac:dyDescent="0.2">
      <c r="B11" s="13" t="s">
        <v>532</v>
      </c>
      <c r="C11" s="37"/>
      <c r="D11" s="37"/>
      <c r="E11" s="37"/>
      <c r="F11" s="39"/>
      <c r="G11" s="39"/>
      <c r="H11" s="39"/>
      <c r="I11" s="39"/>
      <c r="J11" s="39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8" t="s">
        <v>533</v>
      </c>
    </row>
    <row r="12" spans="2:23" ht="22" customHeight="1" x14ac:dyDescent="0.2">
      <c r="B12" s="13" t="s">
        <v>534</v>
      </c>
      <c r="C12" s="37"/>
      <c r="D12" s="37"/>
      <c r="E12" s="37"/>
      <c r="F12" s="37"/>
      <c r="G12" s="37"/>
      <c r="H12" s="37"/>
      <c r="I12" s="39"/>
      <c r="J12" s="39"/>
      <c r="K12" s="39"/>
      <c r="L12" s="39"/>
      <c r="M12" s="39"/>
      <c r="N12" s="39"/>
      <c r="O12" s="37"/>
      <c r="P12" s="37"/>
      <c r="Q12" s="37"/>
      <c r="R12" s="37"/>
      <c r="S12" s="37"/>
      <c r="T12" s="37"/>
      <c r="U12" s="37"/>
      <c r="V12" s="37"/>
      <c r="W12" s="38" t="s">
        <v>535</v>
      </c>
    </row>
    <row r="13" spans="2:23" ht="22" customHeight="1" x14ac:dyDescent="0.2">
      <c r="B13" s="13" t="s">
        <v>536</v>
      </c>
      <c r="C13" s="37"/>
      <c r="D13" s="37"/>
      <c r="E13" s="37"/>
      <c r="F13" s="37"/>
      <c r="G13" s="37"/>
      <c r="H13" s="37"/>
      <c r="I13" s="37"/>
      <c r="J13" s="39"/>
      <c r="K13" s="39"/>
      <c r="L13" s="39"/>
      <c r="M13" s="39"/>
      <c r="N13" s="39"/>
      <c r="O13" s="39"/>
      <c r="P13" s="39"/>
      <c r="Q13" s="37"/>
      <c r="R13" s="37"/>
      <c r="S13" s="37"/>
      <c r="T13" s="37"/>
      <c r="U13" s="37"/>
      <c r="V13" s="37"/>
      <c r="W13" s="38" t="s">
        <v>537</v>
      </c>
    </row>
    <row r="14" spans="2:23" ht="22" customHeight="1" x14ac:dyDescent="0.2">
      <c r="B14" s="13" t="s">
        <v>538</v>
      </c>
      <c r="C14" s="37"/>
      <c r="D14" s="37"/>
      <c r="E14" s="37"/>
      <c r="F14" s="37"/>
      <c r="G14" s="37"/>
      <c r="H14" s="37"/>
      <c r="I14" s="37"/>
      <c r="J14" s="37"/>
      <c r="K14" s="37"/>
      <c r="L14" s="39"/>
      <c r="M14" s="39"/>
      <c r="N14" s="39"/>
      <c r="O14" s="39"/>
      <c r="P14" s="37"/>
      <c r="Q14" s="37"/>
      <c r="R14" s="37"/>
      <c r="S14" s="37"/>
      <c r="T14" s="37"/>
      <c r="U14" s="37"/>
      <c r="V14" s="37"/>
      <c r="W14" s="38" t="s">
        <v>539</v>
      </c>
    </row>
    <row r="15" spans="2:23" ht="22" customHeight="1" x14ac:dyDescent="0.2">
      <c r="B15" s="13" t="s">
        <v>540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1"/>
      <c r="P15" s="31"/>
      <c r="Q15" s="31"/>
      <c r="R15" s="31"/>
      <c r="S15" s="37"/>
      <c r="T15" s="37"/>
      <c r="U15" s="37"/>
      <c r="V15" s="37"/>
      <c r="W15" s="38" t="s">
        <v>541</v>
      </c>
    </row>
    <row r="16" spans="2:23" ht="22" customHeight="1" x14ac:dyDescent="0.2">
      <c r="B16" s="13" t="s">
        <v>542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1"/>
      <c r="P16" s="31"/>
      <c r="Q16" s="31"/>
      <c r="R16" s="31"/>
      <c r="S16" s="31"/>
      <c r="T16" s="37"/>
      <c r="U16" s="37"/>
      <c r="V16" s="37"/>
      <c r="W16" s="38" t="s">
        <v>541</v>
      </c>
    </row>
    <row r="17" spans="2:23" ht="22" customHeight="1" x14ac:dyDescent="0.2">
      <c r="B17" s="13" t="s">
        <v>543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1"/>
      <c r="Q17" s="31"/>
      <c r="R17" s="31"/>
      <c r="S17" s="31"/>
      <c r="T17" s="37"/>
      <c r="U17" s="37"/>
      <c r="V17" s="37"/>
      <c r="W17" s="38" t="s">
        <v>544</v>
      </c>
    </row>
    <row r="18" spans="2:23" ht="22" customHeight="1" x14ac:dyDescent="0.2">
      <c r="B18" s="13" t="s">
        <v>545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1"/>
      <c r="R18" s="31"/>
      <c r="S18" s="31"/>
      <c r="T18" s="31"/>
      <c r="U18" s="37"/>
      <c r="V18" s="37"/>
      <c r="W18" s="38" t="s">
        <v>546</v>
      </c>
    </row>
    <row r="19" spans="2:23" ht="22" customHeight="1" x14ac:dyDescent="0.2">
      <c r="B19" s="13" t="s">
        <v>547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1"/>
      <c r="O19" s="31"/>
      <c r="P19" s="31"/>
      <c r="Q19" s="31"/>
      <c r="R19" s="31"/>
      <c r="S19" s="31"/>
      <c r="T19" s="31"/>
      <c r="U19" s="37"/>
      <c r="V19" s="37"/>
      <c r="W19" s="38" t="s">
        <v>548</v>
      </c>
    </row>
    <row r="20" spans="2:23" ht="22" customHeight="1" x14ac:dyDescent="0.2">
      <c r="B20" s="13" t="s">
        <v>549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40"/>
      <c r="T20" s="40"/>
      <c r="U20" s="40"/>
      <c r="V20" s="37"/>
      <c r="W20" s="38" t="s">
        <v>550</v>
      </c>
    </row>
    <row r="21" spans="2:23" ht="22" customHeight="1" x14ac:dyDescent="0.2">
      <c r="B21" s="13" t="s">
        <v>551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40"/>
      <c r="U21" s="40"/>
      <c r="V21" s="37"/>
      <c r="W21" s="38" t="s">
        <v>335</v>
      </c>
    </row>
    <row r="22" spans="2:23" ht="22" customHeight="1" x14ac:dyDescent="0.2">
      <c r="B22" s="13" t="s">
        <v>552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40"/>
      <c r="V22" s="40"/>
      <c r="W22" s="38" t="s">
        <v>553</v>
      </c>
    </row>
    <row r="23" spans="2:23" ht="22" customHeight="1" x14ac:dyDescent="0.2">
      <c r="B23" s="13" t="s">
        <v>554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40"/>
      <c r="U23" s="40"/>
      <c r="V23" s="40"/>
      <c r="W23" s="38" t="s">
        <v>291</v>
      </c>
    </row>
    <row r="24" spans="2:23" ht="22" customHeight="1" x14ac:dyDescent="0.2">
      <c r="B24" s="13" t="s">
        <v>555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40"/>
      <c r="W24" s="38" t="s">
        <v>556</v>
      </c>
    </row>
    <row r="25" spans="2:23" ht="22" customHeight="1" x14ac:dyDescent="0.2">
      <c r="B25" s="13" t="s">
        <v>557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40"/>
      <c r="V25" s="40"/>
      <c r="W25" s="38" t="s">
        <v>558</v>
      </c>
    </row>
    <row r="27" spans="2:23" ht="28" customHeight="1" x14ac:dyDescent="0.2">
      <c r="B27" s="92" t="s">
        <v>559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</row>
    <row r="29" spans="2:23" ht="22" customHeight="1" x14ac:dyDescent="0.2">
      <c r="B29" s="41" t="s">
        <v>560</v>
      </c>
      <c r="C29" s="36"/>
      <c r="D29" s="42" t="s">
        <v>561</v>
      </c>
      <c r="F29" s="39"/>
      <c r="G29" s="42" t="s">
        <v>562</v>
      </c>
      <c r="I29" s="31"/>
      <c r="J29" s="42" t="s">
        <v>100</v>
      </c>
      <c r="L29" s="40"/>
      <c r="M29" s="42" t="s">
        <v>563</v>
      </c>
    </row>
  </sheetData>
  <mergeCells count="9">
    <mergeCell ref="B2:W2"/>
    <mergeCell ref="C6:D6"/>
    <mergeCell ref="B3:W3"/>
    <mergeCell ref="B27:W27"/>
    <mergeCell ref="B1:W1"/>
    <mergeCell ref="K6:P6"/>
    <mergeCell ref="U6:V6"/>
    <mergeCell ref="Q6:T6"/>
    <mergeCell ref="E6:J6"/>
  </mergeCells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E50"/>
  </sheetPr>
  <dimension ref="B1:C63"/>
  <sheetViews>
    <sheetView showGridLines="0" topLeftCell="A26" workbookViewId="0">
      <selection activeCell="F15" sqref="F15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1" spans="2:3" ht="24" customHeight="1" x14ac:dyDescent="0.2">
      <c r="B1" s="92" t="s">
        <v>34</v>
      </c>
      <c r="C1" s="64"/>
    </row>
    <row r="2" spans="2:3" ht="4" customHeight="1" x14ac:dyDescent="0.2">
      <c r="B2" s="95"/>
      <c r="C2" s="64"/>
    </row>
    <row r="3" spans="2:3" ht="32" customHeight="1" x14ac:dyDescent="0.2">
      <c r="B3" s="94" t="s">
        <v>564</v>
      </c>
      <c r="C3" s="64"/>
    </row>
    <row r="5" spans="2:3" ht="28" customHeight="1" x14ac:dyDescent="0.2">
      <c r="B5" s="89" t="s">
        <v>565</v>
      </c>
      <c r="C5" s="64"/>
    </row>
    <row r="6" spans="2:3" ht="30" customHeight="1" x14ac:dyDescent="0.2">
      <c r="B6" s="20" t="s">
        <v>566</v>
      </c>
      <c r="C6" s="13" t="s">
        <v>567</v>
      </c>
    </row>
    <row r="7" spans="2:3" ht="30" customHeight="1" x14ac:dyDescent="0.2">
      <c r="B7" s="20" t="s">
        <v>568</v>
      </c>
      <c r="C7" s="13" t="s">
        <v>569</v>
      </c>
    </row>
    <row r="8" spans="2:3" ht="30" customHeight="1" x14ac:dyDescent="0.2">
      <c r="B8" s="20" t="s">
        <v>570</v>
      </c>
      <c r="C8" s="13" t="s">
        <v>571</v>
      </c>
    </row>
    <row r="9" spans="2:3" ht="30" customHeight="1" x14ac:dyDescent="0.2">
      <c r="B9" s="20" t="s">
        <v>572</v>
      </c>
      <c r="C9" s="13" t="s">
        <v>573</v>
      </c>
    </row>
    <row r="10" spans="2:3" ht="30" customHeight="1" x14ac:dyDescent="0.2">
      <c r="B10" s="20" t="s">
        <v>574</v>
      </c>
      <c r="C10" s="13" t="s">
        <v>575</v>
      </c>
    </row>
    <row r="12" spans="2:3" ht="28" customHeight="1" x14ac:dyDescent="0.2">
      <c r="B12" s="89" t="s">
        <v>576</v>
      </c>
      <c r="C12" s="64"/>
    </row>
    <row r="13" spans="2:3" ht="50" customHeight="1" x14ac:dyDescent="0.2">
      <c r="B13" s="12" t="s">
        <v>577</v>
      </c>
      <c r="C13" s="32" t="s">
        <v>578</v>
      </c>
    </row>
    <row r="14" spans="2:3" ht="50" customHeight="1" x14ac:dyDescent="0.2">
      <c r="B14" s="12" t="s">
        <v>579</v>
      </c>
      <c r="C14" s="32" t="s">
        <v>580</v>
      </c>
    </row>
    <row r="15" spans="2:3" ht="50" customHeight="1" x14ac:dyDescent="0.2">
      <c r="B15" s="12" t="s">
        <v>581</v>
      </c>
      <c r="C15" s="32" t="s">
        <v>582</v>
      </c>
    </row>
    <row r="16" spans="2:3" ht="50" customHeight="1" x14ac:dyDescent="0.2">
      <c r="B16" s="12" t="s">
        <v>583</v>
      </c>
      <c r="C16" s="32" t="s">
        <v>584</v>
      </c>
    </row>
    <row r="18" spans="2:3" ht="28" customHeight="1" x14ac:dyDescent="0.2">
      <c r="B18" s="89" t="s">
        <v>585</v>
      </c>
      <c r="C18" s="64"/>
    </row>
    <row r="19" spans="2:3" ht="44" customHeight="1" x14ac:dyDescent="0.2">
      <c r="B19" s="12" t="s">
        <v>586</v>
      </c>
      <c r="C19" s="32" t="s">
        <v>587</v>
      </c>
    </row>
    <row r="20" spans="2:3" ht="44" customHeight="1" x14ac:dyDescent="0.2">
      <c r="B20" s="12" t="s">
        <v>588</v>
      </c>
      <c r="C20" s="32" t="s">
        <v>589</v>
      </c>
    </row>
    <row r="21" spans="2:3" ht="44" customHeight="1" x14ac:dyDescent="0.2">
      <c r="B21" s="12" t="s">
        <v>590</v>
      </c>
      <c r="C21" s="32" t="s">
        <v>591</v>
      </c>
    </row>
    <row r="23" spans="2:3" ht="28" customHeight="1" x14ac:dyDescent="0.2">
      <c r="B23" s="89" t="s">
        <v>592</v>
      </c>
      <c r="C23" s="64"/>
    </row>
    <row r="24" spans="2:3" ht="32" customHeight="1" x14ac:dyDescent="0.2">
      <c r="B24" s="43" t="s">
        <v>593</v>
      </c>
      <c r="C24" s="32" t="s">
        <v>594</v>
      </c>
    </row>
    <row r="25" spans="2:3" ht="32" customHeight="1" x14ac:dyDescent="0.2">
      <c r="B25" s="43" t="s">
        <v>593</v>
      </c>
      <c r="C25" s="32" t="s">
        <v>595</v>
      </c>
    </row>
    <row r="26" spans="2:3" ht="32" customHeight="1" x14ac:dyDescent="0.2">
      <c r="B26" s="43" t="s">
        <v>593</v>
      </c>
      <c r="C26" s="32" t="s">
        <v>596</v>
      </c>
    </row>
    <row r="27" spans="2:3" ht="32" customHeight="1" x14ac:dyDescent="0.2">
      <c r="B27" s="43" t="s">
        <v>593</v>
      </c>
      <c r="C27" s="32" t="s">
        <v>597</v>
      </c>
    </row>
    <row r="28" spans="2:3" ht="32" customHeight="1" x14ac:dyDescent="0.2">
      <c r="B28" s="43" t="s">
        <v>593</v>
      </c>
      <c r="C28" s="32" t="s">
        <v>598</v>
      </c>
    </row>
    <row r="29" spans="2:3" ht="32" customHeight="1" x14ac:dyDescent="0.2">
      <c r="B29" s="43" t="s">
        <v>593</v>
      </c>
      <c r="C29" s="32" t="s">
        <v>599</v>
      </c>
    </row>
    <row r="30" spans="2:3" ht="32" customHeight="1" x14ac:dyDescent="0.2">
      <c r="B30" s="43" t="s">
        <v>593</v>
      </c>
      <c r="C30" s="32" t="s">
        <v>600</v>
      </c>
    </row>
    <row r="31" spans="2:3" ht="32" customHeight="1" x14ac:dyDescent="0.2">
      <c r="B31" s="43" t="s">
        <v>593</v>
      </c>
      <c r="C31" s="32" t="s">
        <v>601</v>
      </c>
    </row>
    <row r="33" spans="2:3" ht="28" customHeight="1" x14ac:dyDescent="0.2">
      <c r="B33" s="89" t="s">
        <v>602</v>
      </c>
      <c r="C33" s="64"/>
    </row>
    <row r="34" spans="2:3" ht="36" customHeight="1" x14ac:dyDescent="0.2">
      <c r="B34" s="44" t="s">
        <v>603</v>
      </c>
      <c r="C34" s="32" t="s">
        <v>604</v>
      </c>
    </row>
    <row r="35" spans="2:3" ht="36" customHeight="1" x14ac:dyDescent="0.2">
      <c r="B35" s="44" t="s">
        <v>603</v>
      </c>
      <c r="C35" s="32" t="s">
        <v>605</v>
      </c>
    </row>
    <row r="36" spans="2:3" ht="36" customHeight="1" x14ac:dyDescent="0.2">
      <c r="B36" s="44" t="s">
        <v>603</v>
      </c>
      <c r="C36" s="32" t="s">
        <v>606</v>
      </c>
    </row>
    <row r="37" spans="2:3" ht="36" customHeight="1" x14ac:dyDescent="0.2">
      <c r="B37" s="44" t="s">
        <v>603</v>
      </c>
      <c r="C37" s="32" t="s">
        <v>607</v>
      </c>
    </row>
    <row r="38" spans="2:3" ht="36" customHeight="1" x14ac:dyDescent="0.2">
      <c r="B38" s="44" t="s">
        <v>603</v>
      </c>
      <c r="C38" s="32" t="s">
        <v>608</v>
      </c>
    </row>
    <row r="39" spans="2:3" ht="36" customHeight="1" x14ac:dyDescent="0.2">
      <c r="B39" s="44" t="s">
        <v>603</v>
      </c>
      <c r="C39" s="32" t="s">
        <v>609</v>
      </c>
    </row>
    <row r="40" spans="2:3" ht="36" customHeight="1" x14ac:dyDescent="0.2">
      <c r="B40" s="44" t="s">
        <v>603</v>
      </c>
      <c r="C40" s="32" t="s">
        <v>610</v>
      </c>
    </row>
    <row r="41" spans="2:3" ht="36" customHeight="1" x14ac:dyDescent="0.2">
      <c r="B41" s="44" t="s">
        <v>603</v>
      </c>
      <c r="C41" s="32" t="s">
        <v>611</v>
      </c>
    </row>
    <row r="42" spans="2:3" ht="36" customHeight="1" x14ac:dyDescent="0.2">
      <c r="B42" s="44" t="s">
        <v>603</v>
      </c>
      <c r="C42" s="32" t="s">
        <v>612</v>
      </c>
    </row>
    <row r="44" spans="2:3" ht="28" customHeight="1" x14ac:dyDescent="0.2">
      <c r="B44" s="89" t="s">
        <v>613</v>
      </c>
      <c r="C44" s="64"/>
    </row>
    <row r="45" spans="2:3" ht="50" customHeight="1" x14ac:dyDescent="0.2">
      <c r="B45" s="12" t="s">
        <v>614</v>
      </c>
      <c r="C45" s="32" t="s">
        <v>615</v>
      </c>
    </row>
    <row r="46" spans="2:3" ht="50" customHeight="1" x14ac:dyDescent="0.2">
      <c r="B46" s="12" t="s">
        <v>616</v>
      </c>
      <c r="C46" s="32" t="s">
        <v>617</v>
      </c>
    </row>
    <row r="47" spans="2:3" ht="50" customHeight="1" x14ac:dyDescent="0.2">
      <c r="B47" s="12" t="s">
        <v>618</v>
      </c>
      <c r="C47" s="32" t="s">
        <v>619</v>
      </c>
    </row>
    <row r="48" spans="2:3" ht="50" customHeight="1" x14ac:dyDescent="0.2">
      <c r="B48" s="12" t="s">
        <v>620</v>
      </c>
      <c r="C48" s="32" t="s">
        <v>621</v>
      </c>
    </row>
    <row r="50" spans="2:3" ht="28" customHeight="1" x14ac:dyDescent="0.2">
      <c r="B50" s="89" t="s">
        <v>622</v>
      </c>
      <c r="C50" s="64"/>
    </row>
    <row r="51" spans="2:3" ht="30" customHeight="1" x14ac:dyDescent="0.2">
      <c r="B51" s="97" t="s">
        <v>623</v>
      </c>
      <c r="C51" s="64"/>
    </row>
    <row r="53" spans="2:3" ht="22" customHeight="1" x14ac:dyDescent="0.2">
      <c r="B53" s="45" t="s">
        <v>624</v>
      </c>
      <c r="C53" s="39"/>
    </row>
    <row r="54" spans="2:3" ht="36" customHeight="1" x14ac:dyDescent="0.2">
      <c r="B54" s="46" t="s">
        <v>625</v>
      </c>
      <c r="C54" s="47" t="s">
        <v>626</v>
      </c>
    </row>
    <row r="55" spans="2:3" ht="24" customHeight="1" x14ac:dyDescent="0.2">
      <c r="B55" s="46" t="s">
        <v>627</v>
      </c>
      <c r="C55" s="48" t="s">
        <v>628</v>
      </c>
    </row>
    <row r="56" spans="2:3" ht="36" customHeight="1" x14ac:dyDescent="0.2">
      <c r="B56" s="46" t="s">
        <v>629</v>
      </c>
      <c r="C56" s="49"/>
    </row>
    <row r="57" spans="2:3" ht="24" customHeight="1" x14ac:dyDescent="0.2">
      <c r="B57" s="46" t="s">
        <v>630</v>
      </c>
      <c r="C57" s="49"/>
    </row>
    <row r="59" spans="2:3" ht="22" customHeight="1" x14ac:dyDescent="0.2">
      <c r="B59" s="45" t="s">
        <v>631</v>
      </c>
      <c r="C59" s="39"/>
    </row>
    <row r="60" spans="2:3" ht="36" customHeight="1" x14ac:dyDescent="0.2">
      <c r="B60" s="46" t="s">
        <v>625</v>
      </c>
      <c r="C60" s="47" t="s">
        <v>632</v>
      </c>
    </row>
    <row r="61" spans="2:3" ht="24" customHeight="1" x14ac:dyDescent="0.2">
      <c r="B61" s="46" t="s">
        <v>627</v>
      </c>
      <c r="C61" s="48" t="s">
        <v>633</v>
      </c>
    </row>
    <row r="62" spans="2:3" ht="36" customHeight="1" x14ac:dyDescent="0.2">
      <c r="B62" s="46" t="s">
        <v>629</v>
      </c>
      <c r="C62" s="49"/>
    </row>
    <row r="63" spans="2:3" ht="24" customHeight="1" x14ac:dyDescent="0.2">
      <c r="B63" s="46" t="s">
        <v>630</v>
      </c>
      <c r="C63" s="49"/>
    </row>
  </sheetData>
  <mergeCells count="11">
    <mergeCell ref="B51:C51"/>
    <mergeCell ref="B23:C23"/>
    <mergeCell ref="B50:C50"/>
    <mergeCell ref="B18:C18"/>
    <mergeCell ref="B1:C1"/>
    <mergeCell ref="B12:C12"/>
    <mergeCell ref="B44:C44"/>
    <mergeCell ref="B2:C2"/>
    <mergeCell ref="B33:C33"/>
    <mergeCell ref="B3:C3"/>
    <mergeCell ref="B5:C5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1. Cover</vt:lpstr>
      <vt:lpstr>2. Executive Summary</vt:lpstr>
      <vt:lpstr>3. Scope of Work</vt:lpstr>
      <vt:lpstr>4. Pricing — Build</vt:lpstr>
      <vt:lpstr>5. Pricing — Hosting</vt:lpstr>
      <vt:lpstr>6. Timeline</vt:lpstr>
      <vt:lpstr>7. Commercial Terms</vt:lpstr>
      <vt:lpstr>D_GRAND</vt:lpstr>
      <vt:lpstr>I_GRAND</vt:lpstr>
      <vt:lpstr>J_GRAND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 Coral</cp:lastModifiedBy>
  <dcterms:created xsi:type="dcterms:W3CDTF">2026-05-26T10:09:54Z</dcterms:created>
  <dcterms:modified xsi:type="dcterms:W3CDTF">2026-05-27T04:55:45Z</dcterms:modified>
</cp:coreProperties>
</file>
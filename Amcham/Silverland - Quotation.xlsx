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m/Projects/research/Amcham/"/>
    </mc:Choice>
  </mc:AlternateContent>
  <xr:revisionPtr revIDLastSave="0" documentId="13_ncr:1_{9B947D66-C3D3-B044-87E8-C6C3030AE50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he Myst - Sapa v1" sheetId="1" r:id="rId1"/>
    <sheet name="Quotation - Phase 1" sheetId="14" state="hidden" r:id="rId2"/>
    <sheet name="Server &amp; Managed Services (Mini" sheetId="15" state="hidden" r:id="rId3"/>
    <sheet name="Modules" sheetId="16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6" l="1"/>
  <c r="D12" i="16"/>
  <c r="D16" i="16" s="1"/>
  <c r="D11" i="16"/>
  <c r="D9" i="15"/>
  <c r="D14" i="15" s="1"/>
  <c r="D17" i="14"/>
  <c r="D19" i="14" s="1"/>
  <c r="D13" i="14"/>
  <c r="D12" i="14"/>
  <c r="D11" i="14"/>
  <c r="I41" i="1"/>
  <c r="J41" i="1" s="1"/>
  <c r="H41" i="1"/>
  <c r="H40" i="1"/>
  <c r="H39" i="1"/>
  <c r="H38" i="1"/>
  <c r="I38" i="1" s="1"/>
  <c r="J38" i="1" s="1"/>
  <c r="I37" i="1"/>
  <c r="J37" i="1" s="1"/>
  <c r="H37" i="1"/>
  <c r="H36" i="1"/>
  <c r="I36" i="1" s="1"/>
  <c r="J36" i="1" s="1"/>
  <c r="I35" i="1"/>
  <c r="J35" i="1" s="1"/>
  <c r="H35" i="1"/>
  <c r="H34" i="1"/>
  <c r="I34" i="1" s="1"/>
  <c r="J34" i="1" s="1"/>
  <c r="H33" i="1"/>
  <c r="H32" i="1"/>
  <c r="I32" i="1" s="1"/>
  <c r="J32" i="1" s="1"/>
  <c r="H31" i="1"/>
  <c r="H30" i="1"/>
  <c r="H29" i="1"/>
  <c r="I29" i="1" s="1"/>
  <c r="J29" i="1" s="1"/>
  <c r="H28" i="1"/>
  <c r="H27" i="1"/>
  <c r="I27" i="1" s="1"/>
  <c r="J27" i="1" s="1"/>
  <c r="H26" i="1"/>
  <c r="I26" i="1" s="1"/>
  <c r="J26" i="1" s="1"/>
  <c r="H25" i="1"/>
  <c r="I25" i="1" s="1"/>
  <c r="J25" i="1" s="1"/>
  <c r="H24" i="1"/>
  <c r="I24" i="1" s="1"/>
  <c r="J24" i="1" s="1"/>
  <c r="H23" i="1"/>
  <c r="I23" i="1" s="1"/>
  <c r="J23" i="1" s="1"/>
  <c r="H22" i="1"/>
  <c r="I22" i="1" s="1"/>
  <c r="J22" i="1" s="1"/>
  <c r="H21" i="1"/>
  <c r="I21" i="1" s="1"/>
  <c r="J21" i="1" s="1"/>
  <c r="H20" i="1"/>
  <c r="I20" i="1" s="1"/>
  <c r="J20" i="1" s="1"/>
  <c r="H19" i="1"/>
  <c r="I19" i="1" s="1"/>
  <c r="J19" i="1" s="1"/>
  <c r="I18" i="1"/>
  <c r="J18" i="1" s="1"/>
  <c r="H18" i="1"/>
  <c r="H17" i="1"/>
  <c r="I17" i="1" s="1"/>
  <c r="J17" i="1" s="1"/>
  <c r="H16" i="1"/>
  <c r="I16" i="1" s="1"/>
  <c r="J16" i="1" s="1"/>
  <c r="H15" i="1"/>
  <c r="I15" i="1" s="1"/>
  <c r="J15" i="1" s="1"/>
  <c r="H14" i="1"/>
  <c r="I14" i="1" s="1"/>
  <c r="J14" i="1" s="1"/>
  <c r="H13" i="1"/>
  <c r="I13" i="1" s="1"/>
  <c r="J13" i="1" s="1"/>
  <c r="H12" i="1"/>
  <c r="I12" i="1" s="1"/>
  <c r="J12" i="1" l="1"/>
  <c r="I43" i="1"/>
  <c r="D15" i="15"/>
  <c r="D16" i="15"/>
  <c r="D17" i="15" s="1"/>
  <c r="D18" i="16"/>
  <c r="D17" i="16"/>
  <c r="I44" i="1" l="1"/>
  <c r="J43" i="1"/>
  <c r="I45" i="1" l="1"/>
  <c r="J45" i="1" s="1"/>
  <c r="J44" i="1"/>
</calcChain>
</file>

<file path=xl/sharedStrings.xml><?xml version="1.0" encoding="utf-8"?>
<sst xmlns="http://schemas.openxmlformats.org/spreadsheetml/2006/main" count="206" uniqueCount="130">
  <si>
    <r>
      <rPr>
        <b/>
        <sz val="12"/>
        <color rgb="FF000000"/>
        <rFont val="Arial"/>
        <family val="2"/>
      </rPr>
      <t>BLUE CORAL</t>
    </r>
    <r>
      <rPr>
        <sz val="12"/>
        <color rgb="FF000000"/>
        <rFont val="Arial"/>
        <family val="2"/>
      </rPr>
      <t xml:space="preserve"> 
</t>
    </r>
    <r>
      <rPr>
        <sz val="7"/>
        <color rgb="FF000000"/>
        <rFont val="Arial"/>
        <family val="2"/>
      </rPr>
      <t>Powered by ADNS</t>
    </r>
  </si>
  <si>
    <t>Project:</t>
  </si>
  <si>
    <t>The Myst Sapa Resort</t>
  </si>
  <si>
    <t>8/7D Phan Huy Ich, Ward 15, Tan Binh District, Ho Chi Minh City</t>
  </si>
  <si>
    <t>Duration:</t>
  </si>
  <si>
    <t>3 Months</t>
  </si>
  <si>
    <t>Prepared by:</t>
  </si>
  <si>
    <t>Ms. Uyen Tran</t>
  </si>
  <si>
    <t xml:space="preserve">Approved by: </t>
  </si>
  <si>
    <t>Mr. Nguyen</t>
  </si>
  <si>
    <t>Number</t>
  </si>
  <si>
    <t>0979 477 101</t>
  </si>
  <si>
    <t>SCHEDULE</t>
  </si>
  <si>
    <t>TASK</t>
  </si>
  <si>
    <t>ESTIMATION (HOURS)</t>
  </si>
  <si>
    <t>PRICE (vnd)</t>
  </si>
  <si>
    <t>PRICE (USD)</t>
  </si>
  <si>
    <t>QUANTITY</t>
  </si>
  <si>
    <t>NOTES</t>
  </si>
  <si>
    <t>BA</t>
  </si>
  <si>
    <t>DESIGN</t>
  </si>
  <si>
    <t>DEV</t>
  </si>
  <si>
    <t>PM</t>
  </si>
  <si>
    <t>TOTAL</t>
  </si>
  <si>
    <t>UI/UX Design</t>
  </si>
  <si>
    <t>Business Analytics</t>
  </si>
  <si>
    <t>—</t>
  </si>
  <si>
    <t>Homepage</t>
  </si>
  <si>
    <t>Discover Sapa &amp; Details</t>
  </si>
  <si>
    <t>Award Page</t>
  </si>
  <si>
    <t>Blog</t>
  </si>
  <si>
    <t>Article Details</t>
  </si>
  <si>
    <t>Events</t>
  </si>
  <si>
    <t>Banquet</t>
  </si>
  <si>
    <t>Events Details</t>
  </si>
  <si>
    <t>Accommodation</t>
  </si>
  <si>
    <t xml:space="preserve">Business &amp; Leisure </t>
  </si>
  <si>
    <t>Dining</t>
  </si>
  <si>
    <t>Facilities</t>
  </si>
  <si>
    <t>MICE &amp; Event</t>
  </si>
  <si>
    <t>Gallery</t>
  </si>
  <si>
    <t>Contact us</t>
  </si>
  <si>
    <t>FAQs</t>
  </si>
  <si>
    <t>Search</t>
  </si>
  <si>
    <t>Information pages (Policy, Terms, etc)</t>
  </si>
  <si>
    <t>One-time</t>
  </si>
  <si>
    <t>Mostly text, minimum design like: Legal, Terms, etc.</t>
  </si>
  <si>
    <t>Setup &amp; Configs</t>
  </si>
  <si>
    <t>Design Database Structure</t>
  </si>
  <si>
    <t>Content and Media</t>
  </si>
  <si>
    <t>Manage User Roles &amp; Permissions</t>
  </si>
  <si>
    <t>Setup workflow</t>
  </si>
  <si>
    <t>Monitor &amp; Redirections</t>
  </si>
  <si>
    <t>Month</t>
  </si>
  <si>
    <t>Third-Party software Integration</t>
  </si>
  <si>
    <t>Integration of any 3rd party's system (based on Javascript)</t>
  </si>
  <si>
    <t>Per system
Ex: https://www.appsflyer.com/</t>
  </si>
  <si>
    <t>Modules</t>
  </si>
  <si>
    <t>Cookie consent</t>
  </si>
  <si>
    <t>Forms</t>
  </si>
  <si>
    <t>Video block</t>
  </si>
  <si>
    <t>Portrait Layout in Mobile</t>
  </si>
  <si>
    <t>Generate data cho LLM (Optional)</t>
  </si>
  <si>
    <t>Display &amp; Video 360</t>
  </si>
  <si>
    <t>Excludes filming and photography.</t>
  </si>
  <si>
    <t>Deployment</t>
  </si>
  <si>
    <t>ConfigServer Security &amp; Firewall:
 • Injection
 • Broken Authentication
 • Security Misconfiguration
 • Cross Site Scripting
 • Insufficient Logging &amp; Monitoring</t>
  </si>
  <si>
    <t>Deploy</t>
  </si>
  <si>
    <t>QC Testing</t>
  </si>
  <si>
    <t>Launch website</t>
  </si>
  <si>
    <t>Total</t>
  </si>
  <si>
    <t>Offer (15%)</t>
  </si>
  <si>
    <t>Total (VAT included):</t>
  </si>
  <si>
    <t xml:space="preserve">
Reviewed by Vũ kiều Linh
Approved by Vũ Hồng Nam
</t>
  </si>
  <si>
    <r>
      <rPr>
        <sz val="10"/>
        <color theme="1"/>
        <rFont val="Arial"/>
        <family val="2"/>
      </rPr>
      <t xml:space="preserve">* </t>
    </r>
    <r>
      <rPr>
        <sz val="10"/>
        <color rgb="FFDD0806"/>
        <rFont val="Arial"/>
        <family val="2"/>
      </rPr>
      <t>Monthly fee for these tools not included</t>
    </r>
  </si>
  <si>
    <t>Free of charge</t>
  </si>
  <si>
    <t>ConfigServer Security &amp; Firewall:
- Injection
- Broken Authentication
- Security Misconfiguration
- Cross Site Scripting
- Insufficient Logging &amp; Monitoring</t>
  </si>
  <si>
    <t>12 Months</t>
  </si>
  <si>
    <t>VAT (0%)</t>
  </si>
  <si>
    <t>VAT (10%)</t>
  </si>
  <si>
    <t>3 → 3.5 Months</t>
  </si>
  <si>
    <t>Contact:</t>
  </si>
  <si>
    <t>DESCRIPTION</t>
  </si>
  <si>
    <t>Cloud Services</t>
  </si>
  <si>
    <t>SSL Certificates</t>
  </si>
  <si>
    <t>WAF Application</t>
  </si>
  <si>
    <t>Managed Services</t>
  </si>
  <si>
    <t>Total (not TAX included)</t>
  </si>
  <si>
    <t>Grand total</t>
  </si>
  <si>
    <t>ADNS INC., LTD</t>
  </si>
  <si>
    <t>Talentnet Project</t>
  </si>
  <si>
    <t>2.5 → 3 Months</t>
  </si>
  <si>
    <t xml:space="preserve">Business Analytic </t>
  </si>
  <si>
    <t>Copywriting for Website Guideline</t>
  </si>
  <si>
    <t>one-time</t>
  </si>
  <si>
    <t xml:space="preserve">Estimate:
• Collect infomations and analyze ( 01 Weeks )
</t>
  </si>
  <si>
    <t>Solutions Consulting</t>
  </si>
  <si>
    <t>Mockups and UI/UX Design for:
- Homepage
- About Us
- Our Services 
- Services details
- Insights &amp; Expertise
- Expertise detail
- Experts
- Experts detail
- News 
- News detail
- Contact Us
- Search
- 404
- Information pages (Policy, Terms, etc)</t>
  </si>
  <si>
    <t>26 pages</t>
  </si>
  <si>
    <t>Front-end &amp; Back-end Development</t>
  </si>
  <si>
    <t>Convert design to static pages</t>
  </si>
  <si>
    <t>Back-end development for management modules:
- Content and Media Management
- Multilanguage
- Dynamic Content
- Lead Form
- Email Automation
- Manage User Roles
- SEO Optimization
- Avanced Search
- Chatbox
- Detailed tracking &amp; analysis</t>
  </si>
  <si>
    <t>based on designs</t>
  </si>
  <si>
    <t>Implement and deploy:
- Deploy and QA Testing.
- Launch website</t>
  </si>
  <si>
    <t>Support and Maintenance</t>
  </si>
  <si>
    <t xml:space="preserve">- Server backup periodically
- Support website/server recovery when problems occur
- Remote help in handling the website during operation </t>
  </si>
  <si>
    <t>Offer 03 months free, valued at 14,940,000 ₫</t>
  </si>
  <si>
    <t>Goka Project</t>
  </si>
  <si>
    <t>eCommerce Hosting</t>
  </si>
  <si>
    <t>CPU 6 cores
RAM 8 Gb
SSD 100 Gb
Daily backup</t>
  </si>
  <si>
    <t>Value at 135,000₫</t>
  </si>
  <si>
    <t>Value at 5,580,000 đ</t>
  </si>
  <si>
    <t xml:space="preserve">12 hours of website technical support a month.
Technical Support scope of work*
-        Managed hosting
-        SSL Secured
-        Daily Backups
-        Minimum 30 Minutes counted per Task received
-        Security &amp; Threat Scans
-        Performance Monitoring
-        SEO Monitoring &amp; Tweaks (Onpage)
-        Priority support
-        Website consulting
Other support during the term of contract (module configs, provide solutions, etc.)
</t>
  </si>
  <si>
    <t>Offer (12.5%)</t>
  </si>
  <si>
    <t xml:space="preserve"> (before Tax)</t>
  </si>
  <si>
    <r>
      <rPr>
        <sz val="10"/>
        <color theme="1"/>
        <rFont val="Arial"/>
        <family val="2"/>
      </rPr>
      <t xml:space="preserve">* </t>
    </r>
    <r>
      <rPr>
        <sz val="10"/>
        <color rgb="FFDD0806"/>
        <rFont val="Arial"/>
        <family val="2"/>
      </rPr>
      <t>Monthly fee for these tools not inluded</t>
    </r>
  </si>
  <si>
    <t>2 → 3.5 Months</t>
  </si>
  <si>
    <t>Business Analytic</t>
  </si>
  <si>
    <t>Other Modules</t>
  </si>
  <si>
    <t>One Step Checkout (Ex: topzone.vn)</t>
  </si>
  <si>
    <t>Based on Vue / React</t>
  </si>
  <si>
    <t>Stock Locations</t>
  </si>
  <si>
    <t>Track whether or not a product is available at stores</t>
  </si>
  <si>
    <t>Installment Payment</t>
  </si>
  <si>
    <t>https://payon.vn</t>
  </si>
  <si>
    <t>Shipping Cost</t>
  </si>
  <si>
    <t>N/A</t>
  </si>
  <si>
    <t>Only needed when deploying One Step Checkout. Cost depends on module complexity.</t>
  </si>
  <si>
    <t>Offer (5%)</t>
  </si>
  <si>
    <r>
      <rPr>
        <sz val="10"/>
        <color theme="1"/>
        <rFont val="Arial"/>
        <family val="2"/>
      </rPr>
      <t xml:space="preserve">* </t>
    </r>
    <r>
      <rPr>
        <sz val="10"/>
        <color rgb="FFDD0806"/>
        <rFont val="Arial"/>
        <family val="2"/>
      </rPr>
      <t>Monthly fee for these tools not inluded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</si>
</sst>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[$ ₫]"/>
    <numFmt numFmtId="165" formatCode="&quot;$&quot;#,##0"/>
  </numFmts>
  <fonts count="29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434343"/>
      <name val="Arial"/>
      <family val="2"/>
    </font>
    <font>
      <b/>
      <sz val="13"/>
      <color rgb="FF000000"/>
      <name val="Arial"/>
      <family val="2"/>
    </font>
    <font>
      <sz val="10"/>
      <name val="Arial"/>
      <family val="2"/>
    </font>
    <font>
      <sz val="10"/>
      <color rgb="FF434343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434343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434343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1155CC"/>
      <name val="Inconsolata"/>
    </font>
    <font>
      <u/>
      <sz val="10"/>
      <color rgb="FF1155CC"/>
      <name val="Arial"/>
      <family val="2"/>
    </font>
    <font>
      <sz val="12"/>
      <color rgb="FF000000"/>
      <name val="Arial"/>
      <family val="2"/>
    </font>
    <font>
      <sz val="7"/>
      <color rgb="FF000000"/>
      <name val="Arial"/>
      <family val="2"/>
    </font>
    <font>
      <sz val="10"/>
      <color rgb="FFDD080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262626"/>
        <bgColor rgb="FF262626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n">
        <color rgb="FFFFFFFF"/>
      </left>
      <right/>
      <top/>
      <bottom style="thin">
        <color rgb="FFF3F3F3"/>
      </bottom>
      <diagonal/>
    </border>
    <border>
      <left/>
      <right/>
      <top/>
      <bottom style="thin">
        <color rgb="FFF3F3F3"/>
      </bottom>
      <diagonal/>
    </border>
    <border>
      <left/>
      <right style="thin">
        <color rgb="FFFFFFFF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/>
      <diagonal/>
    </border>
    <border>
      <left style="thin">
        <color rgb="FFFFFFFF"/>
      </left>
      <right/>
      <top style="thin">
        <color rgb="FFF3F3F3"/>
      </top>
      <bottom style="thin">
        <color rgb="FFFFFFFF"/>
      </bottom>
      <diagonal/>
    </border>
    <border>
      <left/>
      <right/>
      <top style="thin">
        <color rgb="FFF3F3F3"/>
      </top>
      <bottom style="thin">
        <color rgb="FFFFFFFF"/>
      </bottom>
      <diagonal/>
    </border>
    <border>
      <left/>
      <right style="thin">
        <color rgb="FFFFFFFF"/>
      </right>
      <top style="thin">
        <color rgb="FFF3F3F3"/>
      </top>
      <bottom style="thin">
        <color rgb="FFFFFFF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EFEFEF"/>
      </top>
      <bottom style="thin">
        <color rgb="FFEFEFEF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10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right" vertical="center" wrapText="1"/>
    </xf>
    <xf numFmtId="164" fontId="8" fillId="0" borderId="10" xfId="0" applyNumberFormat="1" applyFont="1" applyBorder="1" applyAlignment="1">
      <alignment horizontal="right" vertical="center" wrapText="1"/>
    </xf>
    <xf numFmtId="0" fontId="10" fillId="0" borderId="10" xfId="0" applyFont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/>
    <xf numFmtId="0" fontId="10" fillId="0" borderId="10" xfId="0" applyFont="1" applyBorder="1" applyAlignment="1">
      <alignment horizontal="left" vertical="center" wrapText="1"/>
    </xf>
    <xf numFmtId="164" fontId="12" fillId="6" borderId="10" xfId="0" applyNumberFormat="1" applyFont="1" applyFill="1" applyBorder="1" applyAlignment="1">
      <alignment horizontal="right" vertical="center"/>
    </xf>
    <xf numFmtId="164" fontId="7" fillId="6" borderId="10" xfId="0" applyNumberFormat="1" applyFont="1" applyFill="1" applyBorder="1" applyAlignment="1">
      <alignment horizontal="right" vertical="center"/>
    </xf>
    <xf numFmtId="165" fontId="10" fillId="0" borderId="10" xfId="0" applyNumberFormat="1" applyFont="1" applyBorder="1" applyAlignment="1">
      <alignment horizontal="right" vertical="center" wrapText="1"/>
    </xf>
    <xf numFmtId="0" fontId="13" fillId="0" borderId="3" xfId="0" applyFont="1" applyBorder="1" applyAlignment="1">
      <alignment vertical="center"/>
    </xf>
    <xf numFmtId="0" fontId="15" fillId="0" borderId="6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164" fontId="16" fillId="0" borderId="1" xfId="0" applyNumberFormat="1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7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 wrapText="1"/>
    </xf>
    <xf numFmtId="164" fontId="15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7" fillId="3" borderId="10" xfId="0" applyFont="1" applyFill="1" applyBorder="1" applyAlignment="1">
      <alignment vertical="center" wrapText="1"/>
    </xf>
    <xf numFmtId="0" fontId="18" fillId="3" borderId="10" xfId="0" applyFont="1" applyFill="1" applyBorder="1" applyAlignment="1">
      <alignment vertical="center" wrapText="1"/>
    </xf>
    <xf numFmtId="164" fontId="13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 wrapText="1"/>
    </xf>
    <xf numFmtId="164" fontId="19" fillId="4" borderId="28" xfId="0" applyNumberFormat="1" applyFont="1" applyFill="1" applyBorder="1" applyAlignment="1">
      <alignment horizontal="right" vertical="center" wrapText="1"/>
    </xf>
    <xf numFmtId="0" fontId="19" fillId="4" borderId="28" xfId="0" applyFont="1" applyFill="1" applyBorder="1" applyAlignment="1">
      <alignment horizontal="left" vertical="center" wrapText="1"/>
    </xf>
    <xf numFmtId="0" fontId="13" fillId="0" borderId="28" xfId="0" applyFont="1" applyBorder="1" applyAlignment="1">
      <alignment vertical="center" wrapText="1"/>
    </xf>
    <xf numFmtId="164" fontId="13" fillId="0" borderId="28" xfId="0" applyNumberFormat="1" applyFont="1" applyBorder="1" applyAlignment="1">
      <alignment horizontal="right" vertical="center" wrapText="1"/>
    </xf>
    <xf numFmtId="164" fontId="13" fillId="0" borderId="28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164" fontId="21" fillId="6" borderId="24" xfId="0" applyNumberFormat="1" applyFont="1" applyFill="1" applyBorder="1" applyAlignment="1">
      <alignment horizontal="right" vertical="center"/>
    </xf>
    <xf numFmtId="0" fontId="21" fillId="6" borderId="33" xfId="0" applyFont="1" applyFill="1" applyBorder="1" applyAlignment="1">
      <alignment horizontal="right" vertical="center"/>
    </xf>
    <xf numFmtId="0" fontId="21" fillId="6" borderId="34" xfId="0" applyFont="1" applyFill="1" applyBorder="1" applyAlignment="1">
      <alignment horizontal="right" vertical="center"/>
    </xf>
    <xf numFmtId="164" fontId="22" fillId="0" borderId="24" xfId="0" applyNumberFormat="1" applyFont="1" applyBorder="1" applyAlignment="1">
      <alignment horizontal="right" vertical="center" wrapText="1"/>
    </xf>
    <xf numFmtId="0" fontId="21" fillId="6" borderId="33" xfId="0" applyFont="1" applyFill="1" applyBorder="1" applyAlignment="1">
      <alignment horizontal="left" vertical="center"/>
    </xf>
    <xf numFmtId="0" fontId="13" fillId="0" borderId="35" xfId="0" applyFont="1" applyBorder="1" applyAlignment="1">
      <alignment vertical="center"/>
    </xf>
    <xf numFmtId="164" fontId="16" fillId="0" borderId="6" xfId="0" applyNumberFormat="1" applyFont="1" applyBorder="1" applyAlignment="1">
      <alignment horizontal="left" vertical="center" wrapText="1"/>
    </xf>
    <xf numFmtId="0" fontId="16" fillId="0" borderId="36" xfId="0" applyFont="1" applyBorder="1" applyAlignment="1">
      <alignment horizontal="right" vertical="center" wrapText="1"/>
    </xf>
    <xf numFmtId="0" fontId="16" fillId="0" borderId="4" xfId="0" applyFont="1" applyBorder="1" applyAlignment="1">
      <alignment horizontal="right" vertical="center" wrapText="1"/>
    </xf>
    <xf numFmtId="0" fontId="15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9" fillId="4" borderId="10" xfId="0" applyFont="1" applyFill="1" applyBorder="1" applyAlignment="1">
      <alignment vertical="center" wrapText="1"/>
    </xf>
    <xf numFmtId="164" fontId="19" fillId="4" borderId="10" xfId="0" applyNumberFormat="1" applyFont="1" applyFill="1" applyBorder="1" applyAlignment="1">
      <alignment horizontal="right" vertical="center" wrapText="1"/>
    </xf>
    <xf numFmtId="0" fontId="13" fillId="0" borderId="10" xfId="0" applyFont="1" applyBorder="1" applyAlignment="1">
      <alignment vertical="center" wrapText="1"/>
    </xf>
    <xf numFmtId="0" fontId="12" fillId="6" borderId="10" xfId="0" applyFont="1" applyFill="1" applyBorder="1" applyAlignment="1">
      <alignment horizontal="left" vertical="center"/>
    </xf>
    <xf numFmtId="164" fontId="13" fillId="0" borderId="10" xfId="0" applyNumberFormat="1" applyFont="1" applyBorder="1" applyAlignment="1">
      <alignment horizontal="right" vertical="center" wrapText="1"/>
    </xf>
    <xf numFmtId="0" fontId="13" fillId="0" borderId="10" xfId="0" applyFont="1" applyBorder="1"/>
    <xf numFmtId="0" fontId="13" fillId="0" borderId="0" xfId="0" applyFont="1" applyAlignment="1">
      <alignment vertical="top"/>
    </xf>
    <xf numFmtId="164" fontId="20" fillId="0" borderId="10" xfId="0" applyNumberFormat="1" applyFont="1" applyBorder="1" applyAlignment="1">
      <alignment horizontal="right" vertical="center" wrapText="1"/>
    </xf>
    <xf numFmtId="164" fontId="21" fillId="6" borderId="10" xfId="0" applyNumberFormat="1" applyFont="1" applyFill="1" applyBorder="1" applyAlignment="1">
      <alignment horizontal="right" vertical="center"/>
    </xf>
    <xf numFmtId="0" fontId="21" fillId="6" borderId="10" xfId="0" applyFont="1" applyFill="1" applyBorder="1" applyAlignment="1">
      <alignment horizontal="right" vertical="center"/>
    </xf>
    <xf numFmtId="164" fontId="22" fillId="0" borderId="10" xfId="0" applyNumberFormat="1" applyFont="1" applyBorder="1" applyAlignment="1">
      <alignment horizontal="right" vertical="center" wrapText="1"/>
    </xf>
    <xf numFmtId="0" fontId="24" fillId="6" borderId="10" xfId="0" applyFont="1" applyFill="1" applyBorder="1"/>
    <xf numFmtId="0" fontId="16" fillId="0" borderId="36" xfId="0" applyFont="1" applyBorder="1" applyAlignment="1">
      <alignment horizontal="left" vertical="center" wrapText="1"/>
    </xf>
    <xf numFmtId="0" fontId="14" fillId="6" borderId="33" xfId="0" applyFont="1" applyFill="1" applyBorder="1" applyAlignment="1">
      <alignment horizontal="left" vertical="center"/>
    </xf>
    <xf numFmtId="0" fontId="25" fillId="0" borderId="1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5" fillId="0" borderId="6" xfId="0" applyFont="1" applyBorder="1"/>
    <xf numFmtId="0" fontId="2" fillId="0" borderId="3" xfId="0" applyFont="1" applyBorder="1" applyAlignment="1">
      <alignment vertical="center" wrapText="1"/>
    </xf>
    <xf numFmtId="0" fontId="5" fillId="0" borderId="4" xfId="0" applyFont="1" applyBorder="1"/>
    <xf numFmtId="164" fontId="7" fillId="0" borderId="3" xfId="0" applyNumberFormat="1" applyFont="1" applyBorder="1" applyAlignment="1">
      <alignment horizontal="left" vertical="center" wrapText="1"/>
    </xf>
    <xf numFmtId="0" fontId="5" fillId="0" borderId="5" xfId="0" applyFont="1" applyBorder="1"/>
    <xf numFmtId="0" fontId="6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8" xfId="0" applyFont="1" applyBorder="1"/>
    <xf numFmtId="0" fontId="5" fillId="0" borderId="9" xfId="0" applyFont="1" applyBorder="1"/>
    <xf numFmtId="0" fontId="6" fillId="0" borderId="12" xfId="0" applyFont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9" fillId="4" borderId="15" xfId="0" applyFont="1" applyFill="1" applyBorder="1" applyAlignment="1">
      <alignment horizontal="left" vertical="center" wrapText="1"/>
    </xf>
    <xf numFmtId="0" fontId="5" fillId="0" borderId="19" xfId="0" applyFont="1" applyBorder="1"/>
    <xf numFmtId="0" fontId="9" fillId="4" borderId="16" xfId="0" applyFont="1" applyFill="1" applyBorder="1" applyAlignment="1">
      <alignment horizontal="center" vertical="center" wrapText="1"/>
    </xf>
    <xf numFmtId="0" fontId="5" fillId="0" borderId="17" xfId="0" applyFont="1" applyBorder="1"/>
    <xf numFmtId="0" fontId="5" fillId="0" borderId="18" xfId="0" applyFont="1" applyBorder="1"/>
    <xf numFmtId="164" fontId="9" fillId="4" borderId="15" xfId="0" applyNumberFormat="1" applyFont="1" applyFill="1" applyBorder="1" applyAlignment="1">
      <alignment horizontal="right" vertical="center" wrapText="1"/>
    </xf>
    <xf numFmtId="164" fontId="9" fillId="4" borderId="15" xfId="0" applyNumberFormat="1" applyFont="1" applyFill="1" applyBorder="1" applyAlignment="1">
      <alignment horizontal="center" vertical="center" wrapText="1"/>
    </xf>
    <xf numFmtId="164" fontId="7" fillId="6" borderId="16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5" fillId="0" borderId="22" xfId="0" applyFont="1" applyBorder="1"/>
    <xf numFmtId="0" fontId="5" fillId="0" borderId="23" xfId="0" applyFont="1" applyBorder="1"/>
    <xf numFmtId="0" fontId="10" fillId="0" borderId="15" xfId="0" applyFont="1" applyBorder="1" applyAlignment="1">
      <alignment horizontal="left" vertical="center" wrapText="1"/>
    </xf>
    <xf numFmtId="0" fontId="5" fillId="0" borderId="20" xfId="0" applyFont="1" applyBorder="1"/>
    <xf numFmtId="0" fontId="12" fillId="0" borderId="16" xfId="0" applyFont="1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0" fontId="5" fillId="0" borderId="25" xfId="0" applyFont="1" applyBorder="1"/>
    <xf numFmtId="0" fontId="5" fillId="0" borderId="26" xfId="0" applyFont="1" applyBorder="1"/>
    <xf numFmtId="0" fontId="5" fillId="0" borderId="29" xfId="0" applyFont="1" applyBorder="1"/>
    <xf numFmtId="0" fontId="5" fillId="0" borderId="30" xfId="0" applyFont="1" applyBorder="1"/>
    <xf numFmtId="0" fontId="19" fillId="4" borderId="24" xfId="0" applyFont="1" applyFill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8" fillId="0" borderId="24" xfId="0" applyFont="1" applyBorder="1" applyAlignment="1">
      <alignment horizontal="right" vertical="center" wrapText="1"/>
    </xf>
    <xf numFmtId="0" fontId="22" fillId="0" borderId="24" xfId="0" applyFont="1" applyBorder="1" applyAlignment="1">
      <alignment horizontal="right" vertical="center" wrapText="1"/>
    </xf>
    <xf numFmtId="0" fontId="23" fillId="0" borderId="24" xfId="0" applyFont="1" applyBorder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0" fillId="0" borderId="0" xfId="0"/>
    <xf numFmtId="0" fontId="5" fillId="0" borderId="32" xfId="0" applyFont="1" applyBorder="1"/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3" fillId="0" borderId="31" xfId="0" applyFont="1" applyBorder="1" applyAlignment="1">
      <alignment vertical="center"/>
    </xf>
    <xf numFmtId="0" fontId="16" fillId="0" borderId="35" xfId="0" applyFont="1" applyBorder="1" applyAlignment="1">
      <alignment vertical="center" wrapText="1"/>
    </xf>
    <xf numFmtId="0" fontId="5" fillId="0" borderId="36" xfId="0" applyFont="1" applyBorder="1"/>
    <xf numFmtId="0" fontId="13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18" fillId="0" borderId="16" xfId="0" applyFont="1" applyBorder="1" applyAlignment="1">
      <alignment horizontal="right" vertical="center" wrapText="1"/>
    </xf>
    <xf numFmtId="0" fontId="23" fillId="0" borderId="16" xfId="0" applyFont="1" applyBorder="1" applyAlignment="1">
      <alignment horizontal="right" vertical="center" wrapText="1"/>
    </xf>
    <xf numFmtId="164" fontId="13" fillId="0" borderId="15" xfId="0" applyNumberFormat="1" applyFont="1" applyBorder="1" applyAlignment="1">
      <alignment horizontal="right" vertical="center" wrapText="1"/>
    </xf>
    <xf numFmtId="0" fontId="22" fillId="0" borderId="16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76225" cy="3143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47625</xdr:rowOff>
    </xdr:from>
    <xdr:ext cx="1238250" cy="476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47625</xdr:rowOff>
    </xdr:from>
    <xdr:ext cx="1238250" cy="476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47625</xdr:rowOff>
    </xdr:from>
    <xdr:ext cx="1238250" cy="476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payon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D9EEB"/>
    <outlinePr summaryBelow="0" summaryRight="0"/>
    <pageSetUpPr fitToPage="1"/>
  </sheetPr>
  <dimension ref="A1:L47"/>
  <sheetViews>
    <sheetView tabSelected="1" workbookViewId="0">
      <selection activeCell="I18" sqref="I18"/>
    </sheetView>
  </sheetViews>
  <sheetFormatPr baseColWidth="10" defaultColWidth="12.6640625" defaultRowHeight="15.75" customHeight="1" x14ac:dyDescent="0.15"/>
  <cols>
    <col min="1" max="1" width="10.5" customWidth="1"/>
    <col min="2" max="2" width="24.33203125" customWidth="1"/>
    <col min="3" max="3" width="39.1640625" customWidth="1"/>
    <col min="4" max="8" width="7.6640625" customWidth="1"/>
    <col min="9" max="10" width="16.1640625" customWidth="1"/>
    <col min="11" max="11" width="10.1640625" customWidth="1"/>
    <col min="12" max="12" width="51.5" customWidth="1"/>
  </cols>
  <sheetData>
    <row r="1" spans="1:12" ht="7.5" customHeight="1" x14ac:dyDescent="0.2">
      <c r="A1" s="1"/>
      <c r="B1" s="2"/>
      <c r="C1" s="2"/>
      <c r="D1" s="3"/>
      <c r="E1" s="3"/>
      <c r="F1" s="3"/>
      <c r="G1" s="3"/>
      <c r="H1" s="3"/>
      <c r="I1" s="4"/>
      <c r="J1" s="5"/>
      <c r="K1" s="5"/>
      <c r="L1" s="5"/>
    </row>
    <row r="2" spans="1:12" ht="24.75" customHeight="1" x14ac:dyDescent="0.2">
      <c r="A2" s="83"/>
      <c r="B2" s="85" t="s">
        <v>0</v>
      </c>
      <c r="C2" s="86"/>
      <c r="D2" s="3"/>
      <c r="E2" s="3"/>
      <c r="F2" s="3"/>
      <c r="G2" s="3"/>
      <c r="H2" s="3"/>
      <c r="I2" s="6" t="s">
        <v>1</v>
      </c>
      <c r="J2" s="87" t="s">
        <v>2</v>
      </c>
      <c r="K2" s="88"/>
      <c r="L2" s="86"/>
    </row>
    <row r="3" spans="1:12" ht="23.25" customHeight="1" x14ac:dyDescent="0.2">
      <c r="A3" s="84"/>
      <c r="B3" s="89" t="s">
        <v>3</v>
      </c>
      <c r="C3" s="86"/>
      <c r="D3" s="3"/>
      <c r="E3" s="3"/>
      <c r="F3" s="3"/>
      <c r="G3" s="3"/>
      <c r="H3" s="3"/>
      <c r="I3" s="6" t="s">
        <v>4</v>
      </c>
      <c r="J3" s="87" t="s">
        <v>5</v>
      </c>
      <c r="K3" s="88"/>
      <c r="L3" s="86"/>
    </row>
    <row r="4" spans="1:12" ht="17.25" customHeight="1" x14ac:dyDescent="0.15">
      <c r="A4" s="7"/>
      <c r="B4" s="90"/>
      <c r="C4" s="91"/>
      <c r="D4" s="91"/>
      <c r="E4" s="91"/>
      <c r="F4" s="91"/>
      <c r="G4" s="91"/>
      <c r="H4" s="91"/>
      <c r="I4" s="91"/>
      <c r="J4" s="91"/>
      <c r="K4" s="91"/>
      <c r="L4" s="92"/>
    </row>
    <row r="5" spans="1:12" ht="23.25" customHeight="1" x14ac:dyDescent="0.15">
      <c r="A5" s="8"/>
      <c r="B5" s="9" t="s">
        <v>6</v>
      </c>
      <c r="C5" s="10" t="s">
        <v>7</v>
      </c>
      <c r="D5" s="11"/>
      <c r="E5" s="11"/>
      <c r="F5" s="11"/>
      <c r="G5" s="11"/>
      <c r="H5" s="11"/>
      <c r="I5" s="12"/>
      <c r="J5" s="12"/>
      <c r="K5" s="13"/>
      <c r="L5" s="14"/>
    </row>
    <row r="6" spans="1:12" ht="23.25" customHeight="1" x14ac:dyDescent="0.15">
      <c r="A6" s="8"/>
      <c r="B6" s="15" t="s">
        <v>8</v>
      </c>
      <c r="C6" s="16" t="s">
        <v>9</v>
      </c>
      <c r="D6" s="11"/>
      <c r="E6" s="11"/>
      <c r="F6" s="11"/>
      <c r="G6" s="11"/>
      <c r="H6" s="11"/>
      <c r="I6" s="12"/>
      <c r="J6" s="12"/>
      <c r="K6" s="13"/>
      <c r="L6" s="14"/>
    </row>
    <row r="7" spans="1:12" ht="19.5" customHeight="1" x14ac:dyDescent="0.15">
      <c r="A7" s="8"/>
      <c r="B7" s="17" t="s">
        <v>10</v>
      </c>
      <c r="C7" s="16" t="s">
        <v>11</v>
      </c>
      <c r="D7" s="13"/>
      <c r="E7" s="13"/>
      <c r="F7" s="13"/>
      <c r="G7" s="13"/>
      <c r="H7" s="13"/>
      <c r="I7" s="18"/>
      <c r="J7" s="18"/>
      <c r="K7" s="19"/>
      <c r="L7" s="20"/>
    </row>
    <row r="8" spans="1:12" ht="19.5" customHeight="1" x14ac:dyDescent="0.15">
      <c r="A8" s="8"/>
      <c r="B8" s="93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ht="21.75" customHeight="1" x14ac:dyDescent="0.15">
      <c r="A9" s="8"/>
      <c r="B9" s="96" t="s">
        <v>12</v>
      </c>
      <c r="C9" s="96" t="s">
        <v>13</v>
      </c>
      <c r="D9" s="98" t="s">
        <v>14</v>
      </c>
      <c r="E9" s="99"/>
      <c r="F9" s="99"/>
      <c r="G9" s="99"/>
      <c r="H9" s="100"/>
      <c r="I9" s="101" t="s">
        <v>15</v>
      </c>
      <c r="J9" s="101" t="s">
        <v>16</v>
      </c>
      <c r="K9" s="102" t="s">
        <v>17</v>
      </c>
      <c r="L9" s="96" t="s">
        <v>18</v>
      </c>
    </row>
    <row r="10" spans="1:12" ht="21.75" customHeight="1" x14ac:dyDescent="0.15">
      <c r="A10" s="8"/>
      <c r="B10" s="97"/>
      <c r="C10" s="97"/>
      <c r="D10" s="21" t="s">
        <v>19</v>
      </c>
      <c r="E10" s="21" t="s">
        <v>20</v>
      </c>
      <c r="F10" s="21" t="s">
        <v>21</v>
      </c>
      <c r="G10" s="21" t="s">
        <v>22</v>
      </c>
      <c r="H10" s="22" t="s">
        <v>23</v>
      </c>
      <c r="I10" s="97"/>
      <c r="J10" s="97"/>
      <c r="K10" s="97"/>
      <c r="L10" s="97"/>
    </row>
    <row r="11" spans="1:12" ht="28.5" customHeight="1" x14ac:dyDescent="0.15">
      <c r="A11" s="8"/>
      <c r="B11" s="108" t="s">
        <v>24</v>
      </c>
      <c r="C11" s="23" t="s">
        <v>25</v>
      </c>
      <c r="D11" s="24"/>
      <c r="E11" s="24"/>
      <c r="F11" s="24"/>
      <c r="G11" s="24"/>
      <c r="H11" s="24" t="s">
        <v>26</v>
      </c>
      <c r="I11" s="25" t="s">
        <v>26</v>
      </c>
      <c r="J11" s="26" t="s">
        <v>26</v>
      </c>
      <c r="K11" s="24"/>
      <c r="L11" s="23"/>
    </row>
    <row r="12" spans="1:12" ht="28.5" customHeight="1" x14ac:dyDescent="0.15">
      <c r="A12" s="8"/>
      <c r="B12" s="109"/>
      <c r="C12" s="23" t="s">
        <v>27</v>
      </c>
      <c r="D12" s="24">
        <v>8</v>
      </c>
      <c r="E12" s="24">
        <v>40</v>
      </c>
      <c r="F12" s="24">
        <v>32</v>
      </c>
      <c r="G12" s="24">
        <v>4</v>
      </c>
      <c r="H12" s="27">
        <f t="shared" ref="H12:H31" si="0">SUM(D12:G12)</f>
        <v>84</v>
      </c>
      <c r="I12" s="26">
        <f t="shared" ref="I12:I27" si="1">H12*19.25*23200*K12</f>
        <v>37514400</v>
      </c>
      <c r="J12" s="28">
        <f t="shared" ref="J12:J27" si="2">I12/23200</f>
        <v>1617</v>
      </c>
      <c r="K12" s="24">
        <v>1</v>
      </c>
      <c r="L12" s="23"/>
    </row>
    <row r="13" spans="1:12" ht="27.75" customHeight="1" x14ac:dyDescent="0.15">
      <c r="A13" s="8"/>
      <c r="B13" s="109"/>
      <c r="C13" s="23" t="s">
        <v>28</v>
      </c>
      <c r="D13" s="24"/>
      <c r="E13" s="24">
        <v>24</v>
      </c>
      <c r="F13" s="24">
        <v>24</v>
      </c>
      <c r="G13" s="24">
        <v>2</v>
      </c>
      <c r="H13" s="27">
        <f t="shared" si="0"/>
        <v>50</v>
      </c>
      <c r="I13" s="26">
        <f t="shared" si="1"/>
        <v>22330000</v>
      </c>
      <c r="J13" s="28">
        <f t="shared" si="2"/>
        <v>962.5</v>
      </c>
      <c r="K13" s="24">
        <v>1</v>
      </c>
      <c r="L13" s="23"/>
    </row>
    <row r="14" spans="1:12" ht="27.75" customHeight="1" x14ac:dyDescent="0.15">
      <c r="A14" s="8"/>
      <c r="B14" s="109"/>
      <c r="C14" s="23" t="s">
        <v>29</v>
      </c>
      <c r="D14" s="24"/>
      <c r="E14" s="24"/>
      <c r="F14" s="24">
        <v>4</v>
      </c>
      <c r="G14" s="24">
        <v>2</v>
      </c>
      <c r="H14" s="27">
        <f t="shared" si="0"/>
        <v>6</v>
      </c>
      <c r="I14" s="26">
        <f t="shared" si="1"/>
        <v>2679600</v>
      </c>
      <c r="J14" s="28">
        <f t="shared" si="2"/>
        <v>115.5</v>
      </c>
      <c r="K14" s="24">
        <v>1</v>
      </c>
      <c r="L14" s="23"/>
    </row>
    <row r="15" spans="1:12" ht="27.75" customHeight="1" x14ac:dyDescent="0.15">
      <c r="A15" s="8"/>
      <c r="B15" s="109"/>
      <c r="C15" s="23" t="s">
        <v>30</v>
      </c>
      <c r="D15" s="24"/>
      <c r="E15" s="24">
        <v>12</v>
      </c>
      <c r="F15" s="24">
        <v>32</v>
      </c>
      <c r="G15" s="24">
        <v>2</v>
      </c>
      <c r="H15" s="27">
        <f t="shared" si="0"/>
        <v>46</v>
      </c>
      <c r="I15" s="26">
        <f t="shared" si="1"/>
        <v>20543600</v>
      </c>
      <c r="J15" s="28">
        <f t="shared" si="2"/>
        <v>885.5</v>
      </c>
      <c r="K15" s="24">
        <v>1</v>
      </c>
      <c r="L15" s="23"/>
    </row>
    <row r="16" spans="1:12" ht="27.75" customHeight="1" x14ac:dyDescent="0.15">
      <c r="A16" s="8"/>
      <c r="B16" s="109"/>
      <c r="C16" s="23" t="s">
        <v>31</v>
      </c>
      <c r="D16" s="24"/>
      <c r="E16" s="24">
        <v>12</v>
      </c>
      <c r="F16" s="24">
        <v>8</v>
      </c>
      <c r="G16" s="24">
        <v>1</v>
      </c>
      <c r="H16" s="27">
        <f t="shared" si="0"/>
        <v>21</v>
      </c>
      <c r="I16" s="26">
        <f t="shared" si="1"/>
        <v>9378600</v>
      </c>
      <c r="J16" s="28">
        <f t="shared" si="2"/>
        <v>404.25</v>
      </c>
      <c r="K16" s="24">
        <v>1</v>
      </c>
      <c r="L16" s="23"/>
    </row>
    <row r="17" spans="1:12" ht="27.75" customHeight="1" x14ac:dyDescent="0.15">
      <c r="A17" s="8"/>
      <c r="B17" s="109"/>
      <c r="C17" s="23" t="s">
        <v>32</v>
      </c>
      <c r="D17" s="24">
        <v>2</v>
      </c>
      <c r="E17" s="24">
        <v>24</v>
      </c>
      <c r="F17" s="24">
        <v>32</v>
      </c>
      <c r="G17" s="24">
        <v>2</v>
      </c>
      <c r="H17" s="27">
        <f t="shared" si="0"/>
        <v>60</v>
      </c>
      <c r="I17" s="26">
        <f t="shared" si="1"/>
        <v>26796000</v>
      </c>
      <c r="J17" s="28">
        <f t="shared" si="2"/>
        <v>1155</v>
      </c>
      <c r="K17" s="24">
        <v>1</v>
      </c>
      <c r="L17" s="23" t="s">
        <v>33</v>
      </c>
    </row>
    <row r="18" spans="1:12" ht="27.75" customHeight="1" x14ac:dyDescent="0.15">
      <c r="A18" s="8"/>
      <c r="B18" s="109"/>
      <c r="C18" s="23" t="s">
        <v>34</v>
      </c>
      <c r="D18" s="24"/>
      <c r="E18" s="24">
        <v>8</v>
      </c>
      <c r="F18" s="24">
        <v>12</v>
      </c>
      <c r="G18" s="24"/>
      <c r="H18" s="27">
        <f t="shared" si="0"/>
        <v>20</v>
      </c>
      <c r="I18" s="26">
        <f t="shared" si="1"/>
        <v>8932000</v>
      </c>
      <c r="J18" s="28">
        <f t="shared" si="2"/>
        <v>385</v>
      </c>
      <c r="K18" s="24">
        <v>1</v>
      </c>
      <c r="L18" s="23"/>
    </row>
    <row r="19" spans="1:12" ht="27.75" customHeight="1" x14ac:dyDescent="0.15">
      <c r="A19" s="8"/>
      <c r="B19" s="109"/>
      <c r="C19" s="23" t="s">
        <v>35</v>
      </c>
      <c r="D19" s="24">
        <v>8</v>
      </c>
      <c r="E19" s="24">
        <v>36</v>
      </c>
      <c r="F19" s="24">
        <v>10</v>
      </c>
      <c r="G19" s="24">
        <v>2</v>
      </c>
      <c r="H19" s="27">
        <f t="shared" si="0"/>
        <v>56</v>
      </c>
      <c r="I19" s="26">
        <f t="shared" si="1"/>
        <v>25009600</v>
      </c>
      <c r="J19" s="28">
        <f t="shared" si="2"/>
        <v>1078</v>
      </c>
      <c r="K19" s="24">
        <v>1</v>
      </c>
      <c r="L19" s="23"/>
    </row>
    <row r="20" spans="1:12" ht="27.75" customHeight="1" x14ac:dyDescent="0.15">
      <c r="A20" s="8"/>
      <c r="B20" s="109"/>
      <c r="C20" s="23" t="s">
        <v>36</v>
      </c>
      <c r="D20" s="24"/>
      <c r="E20" s="24">
        <v>32</v>
      </c>
      <c r="F20" s="24">
        <v>10</v>
      </c>
      <c r="G20" s="24">
        <v>2</v>
      </c>
      <c r="H20" s="27">
        <f t="shared" si="0"/>
        <v>44</v>
      </c>
      <c r="I20" s="26">
        <f t="shared" si="1"/>
        <v>19650400</v>
      </c>
      <c r="J20" s="28">
        <f t="shared" si="2"/>
        <v>847</v>
      </c>
      <c r="K20" s="24">
        <v>1</v>
      </c>
      <c r="L20" s="23"/>
    </row>
    <row r="21" spans="1:12" ht="27.75" customHeight="1" x14ac:dyDescent="0.15">
      <c r="A21" s="8"/>
      <c r="B21" s="109"/>
      <c r="C21" s="23" t="s">
        <v>37</v>
      </c>
      <c r="D21" s="24"/>
      <c r="E21" s="24">
        <v>8</v>
      </c>
      <c r="F21" s="24">
        <v>10</v>
      </c>
      <c r="G21" s="24">
        <v>2</v>
      </c>
      <c r="H21" s="27">
        <f t="shared" si="0"/>
        <v>20</v>
      </c>
      <c r="I21" s="26">
        <f t="shared" si="1"/>
        <v>8932000</v>
      </c>
      <c r="J21" s="28">
        <f t="shared" si="2"/>
        <v>385</v>
      </c>
      <c r="K21" s="24">
        <v>1</v>
      </c>
      <c r="L21" s="23"/>
    </row>
    <row r="22" spans="1:12" ht="24.75" customHeight="1" x14ac:dyDescent="0.15">
      <c r="A22" s="8"/>
      <c r="B22" s="109"/>
      <c r="C22" s="23" t="s">
        <v>38</v>
      </c>
      <c r="D22" s="24"/>
      <c r="E22" s="24">
        <v>8</v>
      </c>
      <c r="F22" s="24">
        <v>10</v>
      </c>
      <c r="G22" s="24">
        <v>2</v>
      </c>
      <c r="H22" s="27">
        <f t="shared" si="0"/>
        <v>20</v>
      </c>
      <c r="I22" s="26">
        <f t="shared" si="1"/>
        <v>8932000</v>
      </c>
      <c r="J22" s="28">
        <f t="shared" si="2"/>
        <v>385</v>
      </c>
      <c r="K22" s="24">
        <v>1</v>
      </c>
      <c r="L22" s="23"/>
    </row>
    <row r="23" spans="1:12" ht="24.75" customHeight="1" x14ac:dyDescent="0.15">
      <c r="A23" s="8"/>
      <c r="B23" s="109"/>
      <c r="C23" s="23" t="s">
        <v>39</v>
      </c>
      <c r="D23" s="24"/>
      <c r="E23" s="24">
        <v>8</v>
      </c>
      <c r="F23" s="24">
        <v>18</v>
      </c>
      <c r="G23" s="24">
        <v>2</v>
      </c>
      <c r="H23" s="27">
        <f t="shared" si="0"/>
        <v>28</v>
      </c>
      <c r="I23" s="26">
        <f t="shared" si="1"/>
        <v>12504800</v>
      </c>
      <c r="J23" s="28">
        <f t="shared" si="2"/>
        <v>539</v>
      </c>
      <c r="K23" s="24">
        <v>1</v>
      </c>
      <c r="L23" s="23"/>
    </row>
    <row r="24" spans="1:12" ht="24.75" customHeight="1" x14ac:dyDescent="0.15">
      <c r="A24" s="8"/>
      <c r="B24" s="109"/>
      <c r="C24" s="23" t="s">
        <v>40</v>
      </c>
      <c r="D24" s="24"/>
      <c r="E24" s="24">
        <v>12</v>
      </c>
      <c r="F24" s="24">
        <v>24</v>
      </c>
      <c r="G24" s="24">
        <v>2</v>
      </c>
      <c r="H24" s="27">
        <f t="shared" si="0"/>
        <v>38</v>
      </c>
      <c r="I24" s="26">
        <f t="shared" si="1"/>
        <v>16970800</v>
      </c>
      <c r="J24" s="28">
        <f t="shared" si="2"/>
        <v>731.5</v>
      </c>
      <c r="K24" s="24">
        <v>1</v>
      </c>
      <c r="L24" s="29"/>
    </row>
    <row r="25" spans="1:12" ht="24.75" customHeight="1" x14ac:dyDescent="0.15">
      <c r="A25" s="8"/>
      <c r="B25" s="109"/>
      <c r="C25" s="23" t="s">
        <v>41</v>
      </c>
      <c r="D25" s="24">
        <v>2</v>
      </c>
      <c r="E25" s="24">
        <v>8</v>
      </c>
      <c r="F25" s="24">
        <v>4</v>
      </c>
      <c r="G25" s="24">
        <v>2</v>
      </c>
      <c r="H25" s="27">
        <f t="shared" si="0"/>
        <v>16</v>
      </c>
      <c r="I25" s="26">
        <f t="shared" si="1"/>
        <v>7145600</v>
      </c>
      <c r="J25" s="28">
        <f t="shared" si="2"/>
        <v>308</v>
      </c>
      <c r="K25" s="24">
        <v>1</v>
      </c>
      <c r="L25" s="30"/>
    </row>
    <row r="26" spans="1:12" ht="24.75" customHeight="1" x14ac:dyDescent="0.15">
      <c r="A26" s="8"/>
      <c r="B26" s="109"/>
      <c r="C26" s="23" t="s">
        <v>42</v>
      </c>
      <c r="D26" s="24">
        <v>2</v>
      </c>
      <c r="E26" s="24">
        <v>8</v>
      </c>
      <c r="F26" s="24">
        <v>4</v>
      </c>
      <c r="G26" s="24">
        <v>2</v>
      </c>
      <c r="H26" s="27">
        <f t="shared" si="0"/>
        <v>16</v>
      </c>
      <c r="I26" s="26">
        <f t="shared" si="1"/>
        <v>7145600</v>
      </c>
      <c r="J26" s="28">
        <f t="shared" si="2"/>
        <v>308</v>
      </c>
      <c r="K26" s="24">
        <v>1</v>
      </c>
      <c r="L26" s="30"/>
    </row>
    <row r="27" spans="1:12" ht="24.75" customHeight="1" x14ac:dyDescent="0.15">
      <c r="A27" s="8"/>
      <c r="B27" s="109"/>
      <c r="C27" s="23" t="s">
        <v>43</v>
      </c>
      <c r="D27" s="24"/>
      <c r="E27" s="24">
        <v>8</v>
      </c>
      <c r="F27" s="24">
        <v>20</v>
      </c>
      <c r="G27" s="24">
        <v>1</v>
      </c>
      <c r="H27" s="27">
        <f t="shared" si="0"/>
        <v>29</v>
      </c>
      <c r="I27" s="26">
        <f t="shared" si="1"/>
        <v>12951400</v>
      </c>
      <c r="J27" s="28">
        <f t="shared" si="2"/>
        <v>558.25</v>
      </c>
      <c r="K27" s="24">
        <v>1</v>
      </c>
      <c r="L27" s="23"/>
    </row>
    <row r="28" spans="1:12" ht="24.75" customHeight="1" x14ac:dyDescent="0.15">
      <c r="A28" s="8"/>
      <c r="B28" s="97"/>
      <c r="C28" s="23" t="s">
        <v>44</v>
      </c>
      <c r="D28" s="24"/>
      <c r="E28" s="24">
        <v>4</v>
      </c>
      <c r="F28" s="24">
        <v>2</v>
      </c>
      <c r="G28" s="24">
        <v>1</v>
      </c>
      <c r="H28" s="27">
        <f t="shared" si="0"/>
        <v>7</v>
      </c>
      <c r="I28" s="25" t="s">
        <v>26</v>
      </c>
      <c r="J28" s="25" t="s">
        <v>26</v>
      </c>
      <c r="K28" s="24" t="s">
        <v>45</v>
      </c>
      <c r="L28" s="23" t="s">
        <v>46</v>
      </c>
    </row>
    <row r="29" spans="1:12" ht="30" customHeight="1" x14ac:dyDescent="0.15">
      <c r="A29" s="8"/>
      <c r="B29" s="108" t="s">
        <v>47</v>
      </c>
      <c r="C29" s="23" t="s">
        <v>48</v>
      </c>
      <c r="D29" s="24">
        <v>8</v>
      </c>
      <c r="E29" s="24"/>
      <c r="F29" s="24">
        <v>8</v>
      </c>
      <c r="G29" s="24">
        <v>2</v>
      </c>
      <c r="H29" s="27">
        <f t="shared" si="0"/>
        <v>18</v>
      </c>
      <c r="I29" s="26">
        <f>H29*19.25*23200*K29</f>
        <v>8038800</v>
      </c>
      <c r="J29" s="28">
        <f>I29/23200</f>
        <v>346.5</v>
      </c>
      <c r="K29" s="24">
        <v>1</v>
      </c>
      <c r="L29" s="23"/>
    </row>
    <row r="30" spans="1:12" ht="27.75" customHeight="1" x14ac:dyDescent="0.15">
      <c r="A30" s="8"/>
      <c r="B30" s="109"/>
      <c r="C30" s="23" t="s">
        <v>49</v>
      </c>
      <c r="D30" s="24">
        <v>1</v>
      </c>
      <c r="E30" s="24"/>
      <c r="F30" s="24"/>
      <c r="G30" s="24">
        <v>1</v>
      </c>
      <c r="H30" s="27">
        <f t="shared" si="0"/>
        <v>2</v>
      </c>
      <c r="I30" s="25" t="s">
        <v>26</v>
      </c>
      <c r="J30" s="25" t="s">
        <v>26</v>
      </c>
      <c r="K30" s="24" t="s">
        <v>45</v>
      </c>
      <c r="L30" s="23"/>
    </row>
    <row r="31" spans="1:12" ht="27.75" customHeight="1" x14ac:dyDescent="0.15">
      <c r="A31" s="8"/>
      <c r="B31" s="97"/>
      <c r="C31" s="23" t="s">
        <v>50</v>
      </c>
      <c r="D31" s="24">
        <v>8</v>
      </c>
      <c r="E31" s="24"/>
      <c r="F31" s="24"/>
      <c r="G31" s="24">
        <v>2</v>
      </c>
      <c r="H31" s="27">
        <f t="shared" si="0"/>
        <v>10</v>
      </c>
      <c r="I31" s="25" t="s">
        <v>26</v>
      </c>
      <c r="J31" s="25" t="s">
        <v>26</v>
      </c>
      <c r="K31" s="24">
        <v>1</v>
      </c>
      <c r="L31" s="23"/>
    </row>
    <row r="32" spans="1:12" ht="30.75" customHeight="1" x14ac:dyDescent="0.15">
      <c r="A32" s="8"/>
      <c r="B32" s="31" t="s">
        <v>51</v>
      </c>
      <c r="C32" s="23" t="s">
        <v>52</v>
      </c>
      <c r="D32" s="30"/>
      <c r="E32" s="24"/>
      <c r="F32" s="24">
        <v>24</v>
      </c>
      <c r="G32" s="24">
        <v>4</v>
      </c>
      <c r="H32" s="27">
        <f>SUM(E32:G32)</f>
        <v>28</v>
      </c>
      <c r="I32" s="26">
        <f>H32*19.25*23200*K32</f>
        <v>12504800</v>
      </c>
      <c r="J32" s="28">
        <f>I32/23200</f>
        <v>539</v>
      </c>
      <c r="K32" s="24">
        <v>1</v>
      </c>
      <c r="L32" s="23" t="s">
        <v>53</v>
      </c>
    </row>
    <row r="33" spans="1:12" ht="33.75" customHeight="1" x14ac:dyDescent="0.15">
      <c r="A33" s="8"/>
      <c r="B33" s="31" t="s">
        <v>54</v>
      </c>
      <c r="C33" s="23" t="s">
        <v>55</v>
      </c>
      <c r="D33" s="24">
        <v>1</v>
      </c>
      <c r="E33" s="24"/>
      <c r="F33" s="24">
        <v>2</v>
      </c>
      <c r="G33" s="24">
        <v>1</v>
      </c>
      <c r="H33" s="27">
        <f t="shared" ref="H33:H41" si="3">SUM(D33:G33)</f>
        <v>4</v>
      </c>
      <c r="I33" s="25" t="s">
        <v>26</v>
      </c>
      <c r="J33" s="25" t="s">
        <v>26</v>
      </c>
      <c r="K33" s="24" t="s">
        <v>45</v>
      </c>
      <c r="L33" s="23" t="s">
        <v>56</v>
      </c>
    </row>
    <row r="34" spans="1:12" ht="33.75" customHeight="1" x14ac:dyDescent="0.15">
      <c r="A34" s="8"/>
      <c r="B34" s="108" t="s">
        <v>57</v>
      </c>
      <c r="C34" s="23" t="s">
        <v>58</v>
      </c>
      <c r="D34" s="24"/>
      <c r="E34" s="24"/>
      <c r="F34" s="24">
        <v>20</v>
      </c>
      <c r="G34" s="24">
        <v>2</v>
      </c>
      <c r="H34" s="27">
        <f t="shared" si="3"/>
        <v>22</v>
      </c>
      <c r="I34" s="26">
        <f t="shared" ref="I34:I38" si="4">H34*19.25*23200*K34</f>
        <v>9825200</v>
      </c>
      <c r="J34" s="28">
        <f t="shared" ref="J34:J38" si="5">I34/23200</f>
        <v>423.5</v>
      </c>
      <c r="K34" s="24">
        <v>1</v>
      </c>
      <c r="L34" s="23"/>
    </row>
    <row r="35" spans="1:12" ht="33.75" customHeight="1" x14ac:dyDescent="0.15">
      <c r="A35" s="8"/>
      <c r="B35" s="109"/>
      <c r="C35" s="23" t="s">
        <v>59</v>
      </c>
      <c r="D35" s="24">
        <v>2</v>
      </c>
      <c r="E35" s="24"/>
      <c r="F35" s="24">
        <v>8</v>
      </c>
      <c r="G35" s="24"/>
      <c r="H35" s="27">
        <f t="shared" si="3"/>
        <v>10</v>
      </c>
      <c r="I35" s="26">
        <f t="shared" si="4"/>
        <v>4466000</v>
      </c>
      <c r="J35" s="28">
        <f t="shared" si="5"/>
        <v>192.5</v>
      </c>
      <c r="K35" s="24">
        <v>1</v>
      </c>
      <c r="L35" s="23"/>
    </row>
    <row r="36" spans="1:12" ht="33.75" customHeight="1" x14ac:dyDescent="0.15">
      <c r="A36" s="8"/>
      <c r="B36" s="109"/>
      <c r="C36" s="23" t="s">
        <v>60</v>
      </c>
      <c r="D36" s="24"/>
      <c r="E36" s="24">
        <v>0.5</v>
      </c>
      <c r="F36" s="24">
        <v>4</v>
      </c>
      <c r="G36" s="24"/>
      <c r="H36" s="27">
        <f t="shared" si="3"/>
        <v>4.5</v>
      </c>
      <c r="I36" s="26">
        <f t="shared" si="4"/>
        <v>2009700</v>
      </c>
      <c r="J36" s="28">
        <f t="shared" si="5"/>
        <v>86.625</v>
      </c>
      <c r="K36" s="24">
        <v>1</v>
      </c>
      <c r="L36" s="23" t="s">
        <v>61</v>
      </c>
    </row>
    <row r="37" spans="1:12" ht="33.75" customHeight="1" x14ac:dyDescent="0.15">
      <c r="A37" s="8"/>
      <c r="B37" s="109"/>
      <c r="C37" s="23" t="s">
        <v>62</v>
      </c>
      <c r="D37" s="24">
        <v>12</v>
      </c>
      <c r="E37" s="24"/>
      <c r="F37" s="24">
        <v>40</v>
      </c>
      <c r="G37" s="24">
        <v>12</v>
      </c>
      <c r="H37" s="27">
        <f t="shared" si="3"/>
        <v>64</v>
      </c>
      <c r="I37" s="26">
        <f t="shared" si="4"/>
        <v>28582400</v>
      </c>
      <c r="J37" s="28">
        <f t="shared" si="5"/>
        <v>1232</v>
      </c>
      <c r="K37" s="24">
        <v>1</v>
      </c>
      <c r="L37" s="23"/>
    </row>
    <row r="38" spans="1:12" ht="33.75" customHeight="1" x14ac:dyDescent="0.15">
      <c r="A38" s="8"/>
      <c r="B38" s="97"/>
      <c r="C38" s="23" t="s">
        <v>63</v>
      </c>
      <c r="D38" s="24">
        <v>8</v>
      </c>
      <c r="E38" s="24"/>
      <c r="F38" s="24">
        <v>40</v>
      </c>
      <c r="G38" s="24">
        <v>8</v>
      </c>
      <c r="H38" s="27">
        <f t="shared" si="3"/>
        <v>56</v>
      </c>
      <c r="I38" s="26">
        <f t="shared" si="4"/>
        <v>25009600</v>
      </c>
      <c r="J38" s="28">
        <f t="shared" si="5"/>
        <v>1078</v>
      </c>
      <c r="K38" s="24">
        <v>1</v>
      </c>
      <c r="L38" s="23" t="s">
        <v>64</v>
      </c>
    </row>
    <row r="39" spans="1:12" ht="105" customHeight="1" x14ac:dyDescent="0.15">
      <c r="A39" s="8"/>
      <c r="B39" s="108" t="s">
        <v>65</v>
      </c>
      <c r="C39" s="23" t="s">
        <v>66</v>
      </c>
      <c r="D39" s="24">
        <v>2</v>
      </c>
      <c r="E39" s="24"/>
      <c r="F39" s="24">
        <v>5</v>
      </c>
      <c r="G39" s="24">
        <v>1</v>
      </c>
      <c r="H39" s="27">
        <f t="shared" si="3"/>
        <v>8</v>
      </c>
      <c r="I39" s="25" t="s">
        <v>26</v>
      </c>
      <c r="J39" s="25" t="s">
        <v>26</v>
      </c>
      <c r="K39" s="24" t="s">
        <v>45</v>
      </c>
      <c r="L39" s="23"/>
    </row>
    <row r="40" spans="1:12" ht="30.75" customHeight="1" x14ac:dyDescent="0.15">
      <c r="A40" s="8"/>
      <c r="B40" s="109"/>
      <c r="C40" s="23" t="s">
        <v>67</v>
      </c>
      <c r="D40" s="24"/>
      <c r="E40" s="24"/>
      <c r="F40" s="24">
        <v>8</v>
      </c>
      <c r="G40" s="24"/>
      <c r="H40" s="27">
        <f t="shared" si="3"/>
        <v>8</v>
      </c>
      <c r="I40" s="25" t="s">
        <v>26</v>
      </c>
      <c r="J40" s="25" t="s">
        <v>26</v>
      </c>
      <c r="K40" s="24" t="s">
        <v>45</v>
      </c>
      <c r="L40" s="23"/>
    </row>
    <row r="41" spans="1:12" ht="25.5" customHeight="1" x14ac:dyDescent="0.15">
      <c r="A41" s="8"/>
      <c r="B41" s="109"/>
      <c r="C41" s="23" t="s">
        <v>68</v>
      </c>
      <c r="D41" s="24">
        <v>4</v>
      </c>
      <c r="E41" s="24"/>
      <c r="F41" s="24">
        <v>5</v>
      </c>
      <c r="G41" s="24">
        <v>2</v>
      </c>
      <c r="H41" s="27">
        <f t="shared" si="3"/>
        <v>11</v>
      </c>
      <c r="I41" s="26">
        <f>H41*19.25*23200*K41</f>
        <v>4912600</v>
      </c>
      <c r="J41" s="28">
        <f>I41/23200</f>
        <v>211.75</v>
      </c>
      <c r="K41" s="24">
        <v>1</v>
      </c>
      <c r="L41" s="23"/>
    </row>
    <row r="42" spans="1:12" ht="25.5" customHeight="1" x14ac:dyDescent="0.15">
      <c r="A42" s="8"/>
      <c r="B42" s="97"/>
      <c r="C42" s="104" t="s">
        <v>69</v>
      </c>
      <c r="D42" s="99"/>
      <c r="E42" s="99"/>
      <c r="F42" s="99"/>
      <c r="G42" s="99"/>
      <c r="H42" s="99"/>
      <c r="I42" s="99"/>
      <c r="J42" s="99"/>
      <c r="K42" s="100"/>
      <c r="L42" s="23"/>
    </row>
    <row r="43" spans="1:12" ht="27" customHeight="1" x14ac:dyDescent="0.15">
      <c r="A43" s="8"/>
      <c r="B43" s="110" t="s">
        <v>70</v>
      </c>
      <c r="C43" s="99"/>
      <c r="D43" s="99"/>
      <c r="E43" s="99"/>
      <c r="F43" s="99"/>
      <c r="G43" s="99"/>
      <c r="H43" s="100"/>
      <c r="I43" s="32">
        <f>SUM(I11:I41)</f>
        <v>342765500</v>
      </c>
      <c r="J43" s="28">
        <f t="shared" ref="J43:J45" si="6">I43/23200</f>
        <v>14774.375</v>
      </c>
      <c r="K43" s="103"/>
      <c r="L43" s="100"/>
    </row>
    <row r="44" spans="1:12" ht="27" customHeight="1" x14ac:dyDescent="0.15">
      <c r="A44" s="8"/>
      <c r="B44" s="110" t="s">
        <v>71</v>
      </c>
      <c r="C44" s="99"/>
      <c r="D44" s="99"/>
      <c r="E44" s="99"/>
      <c r="F44" s="99"/>
      <c r="G44" s="99"/>
      <c r="H44" s="100"/>
      <c r="I44" s="32">
        <f>I43*0.15</f>
        <v>51414825</v>
      </c>
      <c r="J44" s="28">
        <f t="shared" si="6"/>
        <v>2216.15625</v>
      </c>
      <c r="K44" s="103"/>
      <c r="L44" s="100"/>
    </row>
    <row r="45" spans="1:12" ht="27" customHeight="1" x14ac:dyDescent="0.15">
      <c r="A45" s="8"/>
      <c r="B45" s="111" t="s">
        <v>72</v>
      </c>
      <c r="C45" s="99"/>
      <c r="D45" s="99"/>
      <c r="E45" s="99"/>
      <c r="F45" s="99"/>
      <c r="G45" s="99"/>
      <c r="H45" s="100"/>
      <c r="I45" s="33">
        <f>SUM(I11:I42)-I44</f>
        <v>291350675</v>
      </c>
      <c r="J45" s="34">
        <f t="shared" si="6"/>
        <v>12558.21875</v>
      </c>
      <c r="K45" s="103"/>
      <c r="L45" s="100"/>
    </row>
    <row r="46" spans="1:12" ht="13" x14ac:dyDescent="0.15">
      <c r="A46" s="8"/>
      <c r="B46" s="104" t="s">
        <v>73</v>
      </c>
      <c r="C46" s="99"/>
      <c r="D46" s="99"/>
      <c r="E46" s="99"/>
      <c r="F46" s="99"/>
      <c r="G46" s="99"/>
      <c r="H46" s="99"/>
      <c r="I46" s="99"/>
      <c r="J46" s="99"/>
      <c r="K46" s="99"/>
      <c r="L46" s="100"/>
    </row>
    <row r="47" spans="1:12" ht="27" customHeight="1" x14ac:dyDescent="0.15">
      <c r="A47" s="7"/>
      <c r="B47" s="105" t="s">
        <v>74</v>
      </c>
      <c r="C47" s="106"/>
      <c r="D47" s="106"/>
      <c r="E47" s="106"/>
      <c r="F47" s="106"/>
      <c r="G47" s="106"/>
      <c r="H47" s="106"/>
      <c r="I47" s="106"/>
      <c r="J47" s="106"/>
      <c r="K47" s="106"/>
      <c r="L47" s="107"/>
    </row>
  </sheetData>
  <mergeCells count="27">
    <mergeCell ref="B11:B28"/>
    <mergeCell ref="B29:B31"/>
    <mergeCell ref="B34:B38"/>
    <mergeCell ref="B39:B42"/>
    <mergeCell ref="C42:K42"/>
    <mergeCell ref="K43:L43"/>
    <mergeCell ref="K44:L44"/>
    <mergeCell ref="K45:L45"/>
    <mergeCell ref="B46:L46"/>
    <mergeCell ref="B47:L47"/>
    <mergeCell ref="B43:H43"/>
    <mergeCell ref="B44:H44"/>
    <mergeCell ref="B45:H45"/>
    <mergeCell ref="B4:L4"/>
    <mergeCell ref="B8:L8"/>
    <mergeCell ref="B9:B10"/>
    <mergeCell ref="C9:C10"/>
    <mergeCell ref="D9:H9"/>
    <mergeCell ref="I9:I10"/>
    <mergeCell ref="J9:J10"/>
    <mergeCell ref="K9:K10"/>
    <mergeCell ref="L9:L10"/>
    <mergeCell ref="A2:A3"/>
    <mergeCell ref="B2:C2"/>
    <mergeCell ref="J2:L2"/>
    <mergeCell ref="B3:C3"/>
    <mergeCell ref="J3:L3"/>
  </mergeCells>
  <pageMargins left="0.25" right="0.25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D9EEB"/>
    <outlinePr summaryBelow="0" summaryRight="0"/>
    <pageSetUpPr fitToPage="1"/>
  </sheetPr>
  <dimension ref="A1:F22"/>
  <sheetViews>
    <sheetView workbookViewId="0"/>
  </sheetViews>
  <sheetFormatPr baseColWidth="10" defaultColWidth="12.6640625" defaultRowHeight="15.75" customHeight="1" x14ac:dyDescent="0.15"/>
  <cols>
    <col min="1" max="1" width="18" customWidth="1"/>
    <col min="2" max="2" width="25.33203125" customWidth="1"/>
    <col min="3" max="3" width="45.5" customWidth="1"/>
    <col min="4" max="4" width="22.1640625" customWidth="1"/>
    <col min="5" max="5" width="18.83203125" customWidth="1"/>
    <col min="6" max="6" width="42.1640625" customWidth="1"/>
  </cols>
  <sheetData>
    <row r="1" spans="1:6" ht="7.5" customHeight="1" x14ac:dyDescent="0.15">
      <c r="A1" s="125"/>
      <c r="B1" s="88"/>
      <c r="C1" s="88"/>
      <c r="D1" s="88"/>
      <c r="E1" s="88"/>
      <c r="F1" s="86"/>
    </row>
    <row r="2" spans="1:6" ht="24.75" customHeight="1" x14ac:dyDescent="0.15">
      <c r="A2" s="128"/>
      <c r="B2" s="129" t="s">
        <v>89</v>
      </c>
      <c r="C2" s="130"/>
      <c r="D2" s="36" t="s">
        <v>1</v>
      </c>
      <c r="E2" s="63" t="s">
        <v>90</v>
      </c>
      <c r="F2" s="64"/>
    </row>
    <row r="3" spans="1:6" ht="23.25" customHeight="1" x14ac:dyDescent="0.15">
      <c r="A3" s="84"/>
      <c r="B3" s="126" t="s">
        <v>3</v>
      </c>
      <c r="C3" s="86"/>
      <c r="D3" s="37" t="s">
        <v>4</v>
      </c>
      <c r="E3" s="38" t="s">
        <v>91</v>
      </c>
      <c r="F3" s="65"/>
    </row>
    <row r="4" spans="1:6" ht="17.25" customHeight="1" x14ac:dyDescent="0.15">
      <c r="A4" s="40"/>
      <c r="B4" s="127"/>
      <c r="C4" s="91"/>
      <c r="D4" s="91"/>
      <c r="E4" s="91"/>
      <c r="F4" s="92"/>
    </row>
    <row r="5" spans="1:6" ht="23.25" customHeight="1" x14ac:dyDescent="0.15">
      <c r="A5" s="35"/>
      <c r="B5" s="41" t="s">
        <v>8</v>
      </c>
      <c r="C5" s="42" t="s">
        <v>9</v>
      </c>
      <c r="D5" s="43"/>
      <c r="E5" s="43"/>
      <c r="F5" s="66"/>
    </row>
    <row r="6" spans="1:6" ht="19.5" customHeight="1" x14ac:dyDescent="0.15">
      <c r="A6" s="45"/>
      <c r="B6" s="46" t="s">
        <v>81</v>
      </c>
      <c r="C6" s="47" t="s">
        <v>11</v>
      </c>
      <c r="D6" s="48"/>
      <c r="E6" s="48"/>
      <c r="F6" s="67"/>
    </row>
    <row r="7" spans="1:6" ht="13" x14ac:dyDescent="0.15">
      <c r="A7" s="50"/>
      <c r="B7" s="121"/>
      <c r="C7" s="122"/>
      <c r="D7" s="122"/>
      <c r="E7" s="122"/>
      <c r="F7" s="123"/>
    </row>
    <row r="8" spans="1:6" ht="27" customHeight="1" x14ac:dyDescent="0.15">
      <c r="A8" s="35"/>
      <c r="B8" s="68" t="s">
        <v>12</v>
      </c>
      <c r="C8" s="68" t="s">
        <v>13</v>
      </c>
      <c r="D8" s="69" t="s">
        <v>15</v>
      </c>
      <c r="E8" s="69" t="s">
        <v>17</v>
      </c>
      <c r="F8" s="68" t="s">
        <v>18</v>
      </c>
    </row>
    <row r="9" spans="1:6" ht="26.25" customHeight="1" x14ac:dyDescent="0.15">
      <c r="A9" s="35"/>
      <c r="B9" s="131" t="s">
        <v>92</v>
      </c>
      <c r="C9" s="70" t="s">
        <v>93</v>
      </c>
      <c r="D9" s="135" t="s">
        <v>75</v>
      </c>
      <c r="E9" s="135" t="s">
        <v>94</v>
      </c>
      <c r="F9" s="132" t="s">
        <v>95</v>
      </c>
    </row>
    <row r="10" spans="1:6" ht="26.25" customHeight="1" x14ac:dyDescent="0.15">
      <c r="A10" s="35"/>
      <c r="B10" s="97"/>
      <c r="C10" s="70" t="s">
        <v>96</v>
      </c>
      <c r="D10" s="97"/>
      <c r="E10" s="97"/>
      <c r="F10" s="97"/>
    </row>
    <row r="11" spans="1:6" ht="224" x14ac:dyDescent="0.15">
      <c r="A11" s="35"/>
      <c r="B11" s="71" t="s">
        <v>24</v>
      </c>
      <c r="C11" s="70" t="s">
        <v>97</v>
      </c>
      <c r="D11" s="72">
        <f>2*1555*23500+500*23500</f>
        <v>84835000</v>
      </c>
      <c r="E11" s="72" t="s">
        <v>98</v>
      </c>
      <c r="F11" s="70"/>
    </row>
    <row r="12" spans="1:6" ht="30.75" customHeight="1" x14ac:dyDescent="0.15">
      <c r="A12" s="35"/>
      <c r="B12" s="132" t="s">
        <v>99</v>
      </c>
      <c r="C12" s="70" t="s">
        <v>100</v>
      </c>
      <c r="D12" s="72">
        <f>2*1250*23500</f>
        <v>58750000</v>
      </c>
      <c r="E12" s="73"/>
      <c r="F12" s="70"/>
    </row>
    <row r="13" spans="1:6" ht="153" customHeight="1" x14ac:dyDescent="0.15">
      <c r="A13" s="35"/>
      <c r="B13" s="97"/>
      <c r="C13" s="74" t="s">
        <v>101</v>
      </c>
      <c r="D13" s="72">
        <f>2*1750*23500</f>
        <v>82250000</v>
      </c>
      <c r="E13" s="72" t="s">
        <v>102</v>
      </c>
      <c r="F13" s="70"/>
    </row>
    <row r="14" spans="1:6" ht="98.25" customHeight="1" x14ac:dyDescent="0.15">
      <c r="A14" s="35"/>
      <c r="B14" s="132" t="s">
        <v>65</v>
      </c>
      <c r="C14" s="70" t="s">
        <v>76</v>
      </c>
      <c r="D14" s="72" t="s">
        <v>75</v>
      </c>
      <c r="E14" s="72"/>
      <c r="F14" s="132"/>
    </row>
    <row r="15" spans="1:6" ht="46.5" customHeight="1" x14ac:dyDescent="0.15">
      <c r="A15" s="35"/>
      <c r="B15" s="97"/>
      <c r="C15" s="70" t="s">
        <v>103</v>
      </c>
      <c r="D15" s="72" t="s">
        <v>75</v>
      </c>
      <c r="E15" s="72"/>
      <c r="F15" s="97"/>
    </row>
    <row r="16" spans="1:6" ht="46.5" customHeight="1" x14ac:dyDescent="0.15">
      <c r="A16" s="35"/>
      <c r="B16" s="56" t="s">
        <v>104</v>
      </c>
      <c r="C16" s="56" t="s">
        <v>105</v>
      </c>
      <c r="D16" s="75">
        <v>0</v>
      </c>
      <c r="E16" s="73"/>
      <c r="F16" s="56" t="s">
        <v>106</v>
      </c>
    </row>
    <row r="17" spans="1:6" ht="27" customHeight="1" x14ac:dyDescent="0.15">
      <c r="A17" s="35"/>
      <c r="B17" s="133" t="s">
        <v>87</v>
      </c>
      <c r="C17" s="100"/>
      <c r="D17" s="76">
        <f>SUM(D9:D15)</f>
        <v>225835000</v>
      </c>
      <c r="E17" s="77"/>
      <c r="F17" s="77"/>
    </row>
    <row r="18" spans="1:6" ht="27" customHeight="1" x14ac:dyDescent="0.15">
      <c r="A18" s="35"/>
      <c r="B18" s="136" t="s">
        <v>78</v>
      </c>
      <c r="C18" s="100"/>
      <c r="D18" s="78">
        <v>0</v>
      </c>
      <c r="E18" s="77"/>
      <c r="F18" s="77"/>
    </row>
    <row r="19" spans="1:6" ht="27" customHeight="1" x14ac:dyDescent="0.15">
      <c r="A19" s="35"/>
      <c r="B19" s="133" t="s">
        <v>88</v>
      </c>
      <c r="C19" s="100"/>
      <c r="D19" s="76">
        <f>D17</f>
        <v>225835000</v>
      </c>
      <c r="E19" s="79"/>
      <c r="F19" s="77"/>
    </row>
    <row r="20" spans="1:6" ht="27" customHeight="1" x14ac:dyDescent="0.15">
      <c r="A20" s="35"/>
      <c r="B20" s="134"/>
      <c r="C20" s="99"/>
      <c r="D20" s="99"/>
      <c r="E20" s="99"/>
      <c r="F20" s="100"/>
    </row>
    <row r="21" spans="1:6" ht="27" customHeight="1" x14ac:dyDescent="0.15">
      <c r="A21" s="40"/>
      <c r="B21" s="121"/>
      <c r="C21" s="122"/>
      <c r="D21" s="122"/>
      <c r="E21" s="122"/>
      <c r="F21" s="123"/>
    </row>
    <row r="22" spans="1:6" ht="25.5" customHeight="1" x14ac:dyDescent="0.15">
      <c r="A22" s="62"/>
      <c r="B22" s="124"/>
      <c r="C22" s="88"/>
      <c r="D22" s="88"/>
      <c r="E22" s="88"/>
      <c r="F22" s="86"/>
    </row>
  </sheetData>
  <mergeCells count="19">
    <mergeCell ref="B21:F21"/>
    <mergeCell ref="B22:F22"/>
    <mergeCell ref="D9:D10"/>
    <mergeCell ref="E9:E10"/>
    <mergeCell ref="B12:B13"/>
    <mergeCell ref="B14:B15"/>
    <mergeCell ref="F14:F15"/>
    <mergeCell ref="B17:C17"/>
    <mergeCell ref="B18:C18"/>
    <mergeCell ref="B7:F7"/>
    <mergeCell ref="B9:B10"/>
    <mergeCell ref="F9:F10"/>
    <mergeCell ref="B19:C19"/>
    <mergeCell ref="B20:F20"/>
    <mergeCell ref="A1:F1"/>
    <mergeCell ref="A2:A3"/>
    <mergeCell ref="B2:C2"/>
    <mergeCell ref="B3:C3"/>
    <mergeCell ref="B4:F4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E599"/>
    <outlinePr summaryBelow="0" summaryRight="0"/>
    <pageSetUpPr fitToPage="1"/>
  </sheetPr>
  <dimension ref="A1:F20"/>
  <sheetViews>
    <sheetView workbookViewId="0"/>
  </sheetViews>
  <sheetFormatPr baseColWidth="10" defaultColWidth="12.6640625" defaultRowHeight="15.75" customHeight="1" x14ac:dyDescent="0.15"/>
  <cols>
    <col min="1" max="1" width="18" customWidth="1"/>
    <col min="2" max="2" width="25.33203125" customWidth="1"/>
    <col min="3" max="3" width="45.5" customWidth="1"/>
    <col min="4" max="4" width="22.1640625" customWidth="1"/>
    <col min="5" max="5" width="18.83203125" customWidth="1"/>
    <col min="6" max="6" width="42.1640625" customWidth="1"/>
  </cols>
  <sheetData>
    <row r="1" spans="1:6" ht="7.5" customHeight="1" x14ac:dyDescent="0.15">
      <c r="A1" s="125"/>
      <c r="B1" s="88"/>
      <c r="C1" s="88"/>
      <c r="D1" s="88"/>
      <c r="E1" s="88"/>
      <c r="F1" s="86"/>
    </row>
    <row r="2" spans="1:6" ht="24.75" customHeight="1" x14ac:dyDescent="0.15">
      <c r="A2" s="128"/>
      <c r="B2" s="129" t="s">
        <v>89</v>
      </c>
      <c r="C2" s="130"/>
      <c r="D2" s="36" t="s">
        <v>1</v>
      </c>
      <c r="E2" s="63" t="s">
        <v>107</v>
      </c>
      <c r="F2" s="80"/>
    </row>
    <row r="3" spans="1:6" ht="23.25" customHeight="1" x14ac:dyDescent="0.15">
      <c r="A3" s="84"/>
      <c r="B3" s="126" t="s">
        <v>3</v>
      </c>
      <c r="C3" s="86"/>
      <c r="D3" s="37" t="s">
        <v>4</v>
      </c>
      <c r="E3" s="38" t="s">
        <v>80</v>
      </c>
      <c r="F3" s="39"/>
    </row>
    <row r="4" spans="1:6" ht="17.25" customHeight="1" x14ac:dyDescent="0.15">
      <c r="A4" s="40"/>
      <c r="B4" s="127"/>
      <c r="C4" s="91"/>
      <c r="D4" s="91"/>
      <c r="E4" s="91"/>
      <c r="F4" s="92"/>
    </row>
    <row r="5" spans="1:6" ht="23.25" customHeight="1" x14ac:dyDescent="0.15">
      <c r="A5" s="35"/>
      <c r="B5" s="41" t="s">
        <v>8</v>
      </c>
      <c r="C5" s="42" t="s">
        <v>9</v>
      </c>
      <c r="D5" s="43"/>
      <c r="E5" s="43"/>
      <c r="F5" s="44"/>
    </row>
    <row r="6" spans="1:6" ht="19.5" customHeight="1" x14ac:dyDescent="0.15">
      <c r="A6" s="45"/>
      <c r="B6" s="46" t="s">
        <v>81</v>
      </c>
      <c r="C6" s="47" t="s">
        <v>11</v>
      </c>
      <c r="D6" s="48"/>
      <c r="E6" s="48"/>
      <c r="F6" s="49"/>
    </row>
    <row r="7" spans="1:6" ht="13" x14ac:dyDescent="0.15">
      <c r="A7" s="50"/>
      <c r="B7" s="121"/>
      <c r="C7" s="122"/>
      <c r="D7" s="122"/>
      <c r="E7" s="122"/>
      <c r="F7" s="123"/>
    </row>
    <row r="8" spans="1:6" ht="27" customHeight="1" x14ac:dyDescent="0.15">
      <c r="A8" s="35"/>
      <c r="B8" s="116" t="s">
        <v>13</v>
      </c>
      <c r="C8" s="113"/>
      <c r="D8" s="51" t="s">
        <v>15</v>
      </c>
      <c r="E8" s="51" t="s">
        <v>17</v>
      </c>
      <c r="F8" s="52" t="s">
        <v>82</v>
      </c>
    </row>
    <row r="9" spans="1:6" ht="57.75" customHeight="1" x14ac:dyDescent="0.15">
      <c r="A9" s="35"/>
      <c r="B9" s="117" t="s">
        <v>83</v>
      </c>
      <c r="C9" s="53" t="s">
        <v>108</v>
      </c>
      <c r="D9" s="54">
        <f>1860000*12</f>
        <v>22320000</v>
      </c>
      <c r="E9" s="54" t="s">
        <v>77</v>
      </c>
      <c r="F9" s="55" t="s">
        <v>109</v>
      </c>
    </row>
    <row r="10" spans="1:6" ht="28.5" customHeight="1" x14ac:dyDescent="0.15">
      <c r="A10" s="35"/>
      <c r="B10" s="115"/>
      <c r="C10" s="53" t="s">
        <v>84</v>
      </c>
      <c r="D10" s="54">
        <v>0</v>
      </c>
      <c r="E10" s="54" t="s">
        <v>77</v>
      </c>
      <c r="F10" s="55" t="s">
        <v>110</v>
      </c>
    </row>
    <row r="11" spans="1:6" ht="28.5" customHeight="1" x14ac:dyDescent="0.15">
      <c r="A11" s="35"/>
      <c r="B11" s="114"/>
      <c r="C11" s="53" t="s">
        <v>85</v>
      </c>
      <c r="D11" s="54">
        <v>0</v>
      </c>
      <c r="E11" s="54" t="s">
        <v>77</v>
      </c>
      <c r="F11" s="55" t="s">
        <v>111</v>
      </c>
    </row>
    <row r="12" spans="1:6" ht="224" x14ac:dyDescent="0.15">
      <c r="A12" s="35"/>
      <c r="B12" s="53" t="s">
        <v>86</v>
      </c>
      <c r="C12" s="53" t="s">
        <v>112</v>
      </c>
      <c r="D12" s="54"/>
      <c r="E12" s="54" t="s">
        <v>77</v>
      </c>
      <c r="F12" s="56" t="s">
        <v>106</v>
      </c>
    </row>
    <row r="13" spans="1:6" ht="30" customHeight="1" x14ac:dyDescent="0.15">
      <c r="A13" s="35"/>
      <c r="B13" s="53" t="s">
        <v>65</v>
      </c>
      <c r="C13" s="53"/>
      <c r="D13" s="54" t="s">
        <v>75</v>
      </c>
      <c r="E13" s="54"/>
      <c r="F13" s="55"/>
    </row>
    <row r="14" spans="1:6" ht="27" customHeight="1" x14ac:dyDescent="0.15">
      <c r="A14" s="35"/>
      <c r="B14" s="118" t="s">
        <v>87</v>
      </c>
      <c r="C14" s="113"/>
      <c r="D14" s="57">
        <f>SUM(D9:D13)</f>
        <v>22320000</v>
      </c>
      <c r="E14" s="58"/>
      <c r="F14" s="59"/>
    </row>
    <row r="15" spans="1:6" ht="27" customHeight="1" x14ac:dyDescent="0.15">
      <c r="A15" s="35"/>
      <c r="B15" s="119" t="s">
        <v>113</v>
      </c>
      <c r="C15" s="113"/>
      <c r="D15" s="60">
        <f>D14*0.125</f>
        <v>2790000</v>
      </c>
      <c r="E15" s="81" t="s">
        <v>114</v>
      </c>
      <c r="F15" s="59"/>
    </row>
    <row r="16" spans="1:6" ht="27" customHeight="1" x14ac:dyDescent="0.15">
      <c r="A16" s="35"/>
      <c r="B16" s="119" t="s">
        <v>79</v>
      </c>
      <c r="C16" s="113"/>
      <c r="D16" s="60">
        <f>(D14-D15)*0.1</f>
        <v>1953000</v>
      </c>
      <c r="E16" s="61"/>
      <c r="F16" s="59"/>
    </row>
    <row r="17" spans="1:6" ht="27" customHeight="1" x14ac:dyDescent="0.15">
      <c r="A17" s="35"/>
      <c r="B17" s="118" t="s">
        <v>88</v>
      </c>
      <c r="C17" s="113"/>
      <c r="D17" s="57">
        <f>D14+D16-D15</f>
        <v>21483000</v>
      </c>
      <c r="E17" s="61"/>
      <c r="F17" s="59"/>
    </row>
    <row r="18" spans="1:6" ht="27" customHeight="1" x14ac:dyDescent="0.15">
      <c r="A18" s="35"/>
      <c r="B18" s="120"/>
      <c r="C18" s="112"/>
      <c r="D18" s="112"/>
      <c r="E18" s="112"/>
      <c r="F18" s="113"/>
    </row>
    <row r="19" spans="1:6" ht="27" customHeight="1" x14ac:dyDescent="0.15">
      <c r="A19" s="40"/>
      <c r="B19" s="121" t="s">
        <v>115</v>
      </c>
      <c r="C19" s="122"/>
      <c r="D19" s="122"/>
      <c r="E19" s="122"/>
      <c r="F19" s="123"/>
    </row>
    <row r="20" spans="1:6" ht="25.5" customHeight="1" x14ac:dyDescent="0.15">
      <c r="A20" s="62"/>
      <c r="B20" s="124"/>
      <c r="C20" s="88"/>
      <c r="D20" s="88"/>
      <c r="E20" s="88"/>
      <c r="F20" s="86"/>
    </row>
  </sheetData>
  <mergeCells count="15">
    <mergeCell ref="B18:F18"/>
    <mergeCell ref="B19:F19"/>
    <mergeCell ref="B20:F20"/>
    <mergeCell ref="A1:F1"/>
    <mergeCell ref="A2:A3"/>
    <mergeCell ref="B2:C2"/>
    <mergeCell ref="B3:C3"/>
    <mergeCell ref="B4:F4"/>
    <mergeCell ref="B7:F7"/>
    <mergeCell ref="B8:C8"/>
    <mergeCell ref="B9:B11"/>
    <mergeCell ref="B14:C14"/>
    <mergeCell ref="B15:C15"/>
    <mergeCell ref="B16:C16"/>
    <mergeCell ref="B17:C17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E599"/>
    <outlinePr summaryBelow="0" summaryRight="0"/>
    <pageSetUpPr fitToPage="1"/>
  </sheetPr>
  <dimension ref="A1:F21"/>
  <sheetViews>
    <sheetView workbookViewId="0"/>
  </sheetViews>
  <sheetFormatPr baseColWidth="10" defaultColWidth="12.6640625" defaultRowHeight="15.75" customHeight="1" x14ac:dyDescent="0.15"/>
  <cols>
    <col min="1" max="1" width="18" customWidth="1"/>
    <col min="2" max="2" width="25.33203125" customWidth="1"/>
    <col min="3" max="3" width="45.5" customWidth="1"/>
    <col min="4" max="4" width="22.1640625" customWidth="1"/>
    <col min="5" max="5" width="18.83203125" customWidth="1"/>
    <col min="6" max="6" width="42.1640625" customWidth="1"/>
  </cols>
  <sheetData>
    <row r="1" spans="1:6" ht="7.5" customHeight="1" x14ac:dyDescent="0.15">
      <c r="A1" s="125"/>
      <c r="B1" s="88"/>
      <c r="C1" s="88"/>
      <c r="D1" s="88"/>
      <c r="E1" s="88"/>
      <c r="F1" s="86"/>
    </row>
    <row r="2" spans="1:6" ht="24.75" customHeight="1" x14ac:dyDescent="0.15">
      <c r="A2" s="128"/>
      <c r="B2" s="129" t="s">
        <v>89</v>
      </c>
      <c r="C2" s="130"/>
      <c r="D2" s="36" t="s">
        <v>1</v>
      </c>
      <c r="E2" s="63" t="s">
        <v>107</v>
      </c>
      <c r="F2" s="64"/>
    </row>
    <row r="3" spans="1:6" ht="23.25" customHeight="1" x14ac:dyDescent="0.15">
      <c r="A3" s="84"/>
      <c r="B3" s="126" t="s">
        <v>3</v>
      </c>
      <c r="C3" s="86"/>
      <c r="D3" s="37" t="s">
        <v>4</v>
      </c>
      <c r="E3" s="38" t="s">
        <v>116</v>
      </c>
      <c r="F3" s="65"/>
    </row>
    <row r="4" spans="1:6" ht="17.25" customHeight="1" x14ac:dyDescent="0.15">
      <c r="A4" s="40"/>
      <c r="B4" s="127"/>
      <c r="C4" s="91"/>
      <c r="D4" s="91"/>
      <c r="E4" s="91"/>
      <c r="F4" s="92"/>
    </row>
    <row r="5" spans="1:6" ht="23.25" customHeight="1" x14ac:dyDescent="0.15">
      <c r="A5" s="35"/>
      <c r="B5" s="41" t="s">
        <v>8</v>
      </c>
      <c r="C5" s="42" t="s">
        <v>9</v>
      </c>
      <c r="D5" s="43"/>
      <c r="E5" s="43"/>
      <c r="F5" s="66"/>
    </row>
    <row r="6" spans="1:6" ht="19.5" customHeight="1" x14ac:dyDescent="0.15">
      <c r="A6" s="45"/>
      <c r="B6" s="46" t="s">
        <v>81</v>
      </c>
      <c r="C6" s="47" t="s">
        <v>11</v>
      </c>
      <c r="D6" s="48"/>
      <c r="E6" s="48"/>
      <c r="F6" s="67"/>
    </row>
    <row r="7" spans="1:6" ht="13" x14ac:dyDescent="0.15">
      <c r="A7" s="50"/>
      <c r="B7" s="121"/>
      <c r="C7" s="122"/>
      <c r="D7" s="122"/>
      <c r="E7" s="122"/>
      <c r="F7" s="123"/>
    </row>
    <row r="8" spans="1:6" ht="27" customHeight="1" x14ac:dyDescent="0.15">
      <c r="A8" s="35"/>
      <c r="B8" s="68" t="s">
        <v>12</v>
      </c>
      <c r="C8" s="68" t="s">
        <v>13</v>
      </c>
      <c r="D8" s="69" t="s">
        <v>15</v>
      </c>
      <c r="E8" s="69" t="s">
        <v>17</v>
      </c>
      <c r="F8" s="68" t="s">
        <v>18</v>
      </c>
    </row>
    <row r="9" spans="1:6" ht="26.25" customHeight="1" x14ac:dyDescent="0.15">
      <c r="A9" s="35"/>
      <c r="B9" s="131" t="s">
        <v>117</v>
      </c>
      <c r="C9" s="70" t="s">
        <v>93</v>
      </c>
      <c r="D9" s="135" t="s">
        <v>75</v>
      </c>
      <c r="E9" s="135" t="s">
        <v>94</v>
      </c>
      <c r="F9" s="132" t="s">
        <v>95</v>
      </c>
    </row>
    <row r="10" spans="1:6" ht="26.25" customHeight="1" x14ac:dyDescent="0.15">
      <c r="A10" s="35"/>
      <c r="B10" s="97"/>
      <c r="C10" s="70" t="s">
        <v>96</v>
      </c>
      <c r="D10" s="97"/>
      <c r="E10" s="97"/>
      <c r="F10" s="97"/>
    </row>
    <row r="11" spans="1:6" ht="31.5" customHeight="1" x14ac:dyDescent="0.15">
      <c r="A11" s="35"/>
      <c r="B11" s="132" t="s">
        <v>118</v>
      </c>
      <c r="C11" s="70" t="s">
        <v>119</v>
      </c>
      <c r="D11" s="72">
        <f>950*23500</f>
        <v>22325000</v>
      </c>
      <c r="E11" s="72"/>
      <c r="F11" s="70" t="s">
        <v>120</v>
      </c>
    </row>
    <row r="12" spans="1:6" ht="31.5" customHeight="1" x14ac:dyDescent="0.15">
      <c r="A12" s="35"/>
      <c r="B12" s="109"/>
      <c r="C12" s="70" t="s">
        <v>121</v>
      </c>
      <c r="D12" s="72">
        <f>750*23500</f>
        <v>17625000</v>
      </c>
      <c r="E12" s="72"/>
      <c r="F12" s="70" t="s">
        <v>122</v>
      </c>
    </row>
    <row r="13" spans="1:6" ht="31.5" customHeight="1" x14ac:dyDescent="0.15">
      <c r="A13" s="35"/>
      <c r="B13" s="109"/>
      <c r="C13" s="70" t="s">
        <v>123</v>
      </c>
      <c r="D13" s="72">
        <f>650*23500</f>
        <v>15275000</v>
      </c>
      <c r="E13" s="72"/>
      <c r="F13" s="82" t="s">
        <v>124</v>
      </c>
    </row>
    <row r="14" spans="1:6" ht="31.5" customHeight="1" x14ac:dyDescent="0.15">
      <c r="A14" s="35"/>
      <c r="B14" s="97"/>
      <c r="C14" s="70" t="s">
        <v>125</v>
      </c>
      <c r="D14" s="72" t="s">
        <v>126</v>
      </c>
      <c r="E14" s="72"/>
      <c r="F14" s="70" t="s">
        <v>127</v>
      </c>
    </row>
    <row r="15" spans="1:6" ht="46.5" customHeight="1" x14ac:dyDescent="0.15">
      <c r="A15" s="35"/>
      <c r="B15" s="70" t="s">
        <v>65</v>
      </c>
      <c r="C15" s="70" t="s">
        <v>103</v>
      </c>
      <c r="D15" s="72" t="s">
        <v>75</v>
      </c>
      <c r="E15" s="72"/>
      <c r="F15" s="70"/>
    </row>
    <row r="16" spans="1:6" ht="27" customHeight="1" x14ac:dyDescent="0.15">
      <c r="A16" s="35"/>
      <c r="B16" s="133" t="s">
        <v>87</v>
      </c>
      <c r="C16" s="100"/>
      <c r="D16" s="76">
        <f>SUM(D9:D15)</f>
        <v>55225000</v>
      </c>
      <c r="E16" s="77"/>
      <c r="F16" s="70"/>
    </row>
    <row r="17" spans="1:6" ht="27" customHeight="1" x14ac:dyDescent="0.15">
      <c r="A17" s="35"/>
      <c r="B17" s="136" t="s">
        <v>128</v>
      </c>
      <c r="C17" s="100"/>
      <c r="D17" s="78">
        <f>D16*5%</f>
        <v>2761250</v>
      </c>
      <c r="E17" s="77"/>
      <c r="F17" s="77"/>
    </row>
    <row r="18" spans="1:6" ht="27" customHeight="1" x14ac:dyDescent="0.15">
      <c r="A18" s="35"/>
      <c r="B18" s="133" t="s">
        <v>88</v>
      </c>
      <c r="C18" s="100"/>
      <c r="D18" s="76">
        <f>D16-D17</f>
        <v>52463750</v>
      </c>
      <c r="E18" s="79"/>
      <c r="F18" s="77"/>
    </row>
    <row r="19" spans="1:6" ht="27" customHeight="1" x14ac:dyDescent="0.15">
      <c r="A19" s="35"/>
      <c r="B19" s="134"/>
      <c r="C19" s="99"/>
      <c r="D19" s="99"/>
      <c r="E19" s="99"/>
      <c r="F19" s="100"/>
    </row>
    <row r="20" spans="1:6" ht="27" customHeight="1" x14ac:dyDescent="0.15">
      <c r="A20" s="40"/>
      <c r="B20" s="121" t="s">
        <v>129</v>
      </c>
      <c r="C20" s="122"/>
      <c r="D20" s="122"/>
      <c r="E20" s="122"/>
      <c r="F20" s="123"/>
    </row>
    <row r="21" spans="1:6" ht="25.5" customHeight="1" x14ac:dyDescent="0.15">
      <c r="A21" s="62"/>
      <c r="B21" s="124"/>
      <c r="C21" s="88"/>
      <c r="D21" s="88"/>
      <c r="E21" s="88"/>
      <c r="F21" s="86"/>
    </row>
  </sheetData>
  <mergeCells count="17">
    <mergeCell ref="B7:F7"/>
    <mergeCell ref="B9:B10"/>
    <mergeCell ref="F9:F10"/>
    <mergeCell ref="B20:F20"/>
    <mergeCell ref="B21:F21"/>
    <mergeCell ref="D9:D10"/>
    <mergeCell ref="E9:E10"/>
    <mergeCell ref="B11:B14"/>
    <mergeCell ref="B16:C16"/>
    <mergeCell ref="B17:C17"/>
    <mergeCell ref="B18:C18"/>
    <mergeCell ref="B19:F19"/>
    <mergeCell ref="A1:F1"/>
    <mergeCell ref="A2:A3"/>
    <mergeCell ref="B2:C2"/>
    <mergeCell ref="B3:C3"/>
    <mergeCell ref="B4:F4"/>
  </mergeCells>
  <hyperlinks>
    <hyperlink ref="F13" r:id="rId1" xr:uid="{00000000-0004-0000-0F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Myst - Sapa v1</vt:lpstr>
      <vt:lpstr>Quotation - Phase 1</vt:lpstr>
      <vt:lpstr>Server &amp; Managed Services (Mini</vt:lpstr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Blue Coral</cp:lastModifiedBy>
  <dcterms:modified xsi:type="dcterms:W3CDTF">2026-05-23T11:04:45Z</dcterms:modified>
</cp:coreProperties>
</file>